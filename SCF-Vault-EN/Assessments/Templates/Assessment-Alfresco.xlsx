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Assessment" sheetId="2" state="visible" r:id="rId4"/>
    <sheet name="Summary Dashboard" sheetId="3" state="visible" r:id="rId5"/>
    <sheet name="Expor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<sst xmlns="http://schemas.openxmlformats.org/spreadsheetml/2006/main" count="300" uniqueCount="258">
  <si>
    <t xml:space="preserve">SECURITY SELF-ASSESSMENT: Alfresco</t>
  </si>
  <si>
    <t xml:space="preserve">Benchmark: EXT-BM-Alfresco v1.0</t>
  </si>
  <si>
    <t xml:space="preserve">Versie: 7.x</t>
  </si>
  <si>
    <t xml:space="preserve">Bron: docs.alfresco.com/content-services/latest/admin/securing-install/</t>
  </si>
  <si>
    <t xml:space="preserve">Alfresco Content Services is een Enterprise Content Management platform. Deze benchmark bevat security hardening maatregelen.</t>
  </si>
  <si>
    <t xml:space="preserve">INSTRUCTIES</t>
  </si>
  <si>
    <t xml:space="preserve">1. Ga naar het tabblad 'Assessment'</t>
  </si>
  <si>
    <t xml:space="preserve">2. Review elke maatregel en de beschrijving</t>
  </si>
  <si>
    <t xml:space="preserve">3. Controleer de BASELINE kolom - deze is vooraf ingevuld maar aanpasbaar</t>
  </si>
  <si>
    <t xml:space="preserve">4. Voer de Audit Procedure uit om de huidige status te bepalen</t>
  </si>
  <si>
    <t xml:space="preserve">5. Vul de STATUS in via de dropdown:</t>
  </si>
  <si>
    <t xml:space="preserve">   • Compliant: Volledig geïmplementeerd en geverifieerd</t>
  </si>
  <si>
    <t xml:space="preserve">   • Partial: Gedeeltelijk geïmplementeerd</t>
  </si>
  <si>
    <t xml:space="preserve">   • Non-Compliant: Niet geïmplementeerd</t>
  </si>
  <si>
    <t xml:space="preserve">   • N/A: Niet van toepassing op deze omgeving</t>
  </si>
  <si>
    <t xml:space="preserve">6. Documenteer EVIDENCE (bestandslocatie, screenshot, ticket)</t>
  </si>
  <si>
    <t xml:space="preserve">7. Voeg relevante OPMERKINGEN toe</t>
  </si>
  <si>
    <t xml:space="preserve">8. Wijs een VERANTWOORDELIJKE toe</t>
  </si>
  <si>
    <t xml:space="preserve">9. Het Summary Dashboard toont zowel totaal- als baseline-compliance</t>
  </si>
  <si>
    <t xml:space="preserve">10. Gebruik de EXPORT knop om resultaten naar de Vault te exporteren</t>
  </si>
  <si>
    <t xml:space="preserve">LEVELS (CIS Benchmark Standaard)</t>
  </si>
  <si>
    <t xml:space="preserve">L1 = Level 1 - Basis beveiliging, minimale impact op functionaliteit</t>
  </si>
  <si>
    <t xml:space="preserve">L2 = Level 2 - Verhoogde beveiliging, kan functionaliteit beperken</t>
  </si>
  <si>
    <t xml:space="preserve">BASELINE SYSTEMATIEK</t>
  </si>
  <si>
    <t xml:space="preserve">De Baseline is berekend op basis van:</t>
  </si>
  <si>
    <t xml:space="preserve">• Level van de maatregel (L1 of L2)</t>
  </si>
  <si>
    <t xml:space="preserve">• Baseline status van de gekoppelde CIS Control(s)</t>
  </si>
  <si>
    <t xml:space="preserve">Baseline = Ja alleen als:</t>
  </si>
  <si>
    <t xml:space="preserve">  1. Level = L1 (basis), EN</t>
  </si>
  <si>
    <t xml:space="preserve">  2. Minstens één gekoppelde CIS Control is baseline</t>
  </si>
  <si>
    <t xml:space="preserve">De Baseline kolom is aanpasbaar per organisatie:</t>
  </si>
  <si>
    <t xml:space="preserve">• L2 → Baseline Ja: Verhogen indien risicoprofiel dit vereist</t>
  </si>
  <si>
    <t xml:space="preserve">• L1 → Baseline Nee: Alleen met risicoanalyse en compenserende maatregelen</t>
  </si>
  <si>
    <t xml:space="preserve">EXPORT NAAR VAULT</t>
  </si>
  <si>
    <t xml:space="preserve">Na het invullen van de assessment:</t>
  </si>
  <si>
    <t xml:space="preserve">1. Ga naar het tabblad 'Export'</t>
  </si>
  <si>
    <t xml:space="preserve">2. Vul de metadata in (assessor, systeem, omgeving)</t>
  </si>
  <si>
    <t xml:space="preserve">3. Klik op de 'Exporteer naar Vault' knop</t>
  </si>
  <si>
    <t xml:space="preserve">4. Kies een locatie in de Assessments/Results/ folder</t>
  </si>
  <si>
    <t xml:space="preserve">5. Het gegenereerde .md bestand is direct bruikbaar in Obsidian</t>
  </si>
  <si>
    <t xml:space="preserve">ASSESSMENT INFORMATIE</t>
  </si>
  <si>
    <t xml:space="preserve">Datum assessment:</t>
  </si>
  <si>
    <t xml:space="preserve">Assessor:</t>
  </si>
  <si>
    <t xml:space="preserve">Systeem/Omgeving:</t>
  </si>
  <si>
    <t xml:space="preserve">Goedgekeurd door:</t>
  </si>
  <si>
    <t xml:space="preserve">Goedkeuringsdatum:</t>
  </si>
  <si>
    <t xml:space="preserve">ID</t>
  </si>
  <si>
    <t xml:space="preserve">Level</t>
  </si>
  <si>
    <t xml:space="preserve">Baseline</t>
  </si>
  <si>
    <t xml:space="preserve">CIS Controls</t>
  </si>
  <si>
    <t xml:space="preserve">Control Title</t>
  </si>
  <si>
    <t xml:space="preserve">Control Description</t>
  </si>
  <si>
    <t xml:space="preserve">Audit Procedure</t>
  </si>
  <si>
    <t xml:space="preserve">Expected Config</t>
  </si>
  <si>
    <t xml:space="preserve">Status</t>
  </si>
  <si>
    <t xml:space="preserve">Evidence Location</t>
  </si>
  <si>
    <t xml:space="preserve">Comments</t>
  </si>
  <si>
    <t xml:space="preserve">Responsible Party</t>
  </si>
  <si>
    <t xml:space="preserve">1. Network &amp; Transport Security</t>
  </si>
  <si>
    <t xml:space="preserve">ALF-1.1</t>
  </si>
  <si>
    <t xml:space="preserve">L1</t>
  </si>
  <si>
    <t xml:space="preserve">Ja</t>
  </si>
  <si>
    <t xml:space="preserve">CIS-3.10</t>
  </si>
  <si>
    <t xml:space="preserve">HTTPS voor alle endpoints</t>
  </si>
  <si>
    <t xml:space="preserve">Alle Alfresco endpoints (Share, Repository, WebDAV, API) zijn alleen toegankelijk via HTTPS.</t>
  </si>
  <si>
    <t xml:space="preserve">grep -i "protocol" alfresco-global.properties
curl -I http://alfresco.example.com</t>
  </si>
  <si>
    <t xml:space="preserve">alfresco.protocol=https</t>
  </si>
  <si>
    <t xml:space="preserve">ALF-1.2</t>
  </si>
  <si>
    <t xml:space="preserve">CIS-3.10, CIS-12.2</t>
  </si>
  <si>
    <t xml:space="preserve">Reverse proxy voor frontend</t>
  </si>
  <si>
    <t xml:space="preserve">Een reverse proxy (NGINX, HAProxy) staat voor Alfresco voor SSL termination en security headers.</t>
  </si>
  <si>
    <t xml:space="preserve">curl -I https://alfresco.example.com (check Strict-Transport-Security, X-Frame-Options)</t>
  </si>
  <si>
    <t xml:space="preserve">HSTS en X-Frame-Options headers</t>
  </si>
  <si>
    <t xml:space="preserve">ALF-1.3</t>
  </si>
  <si>
    <t xml:space="preserve">CIS-4.8</t>
  </si>
  <si>
    <t xml:space="preserve">Tomcat AJP uitgeschakeld</t>
  </si>
  <si>
    <t xml:space="preserve">AJP connector (poort 8009) is uitgeschakeld tenzij specifiek nodig.</t>
  </si>
  <si>
    <t xml:space="preserve">grep -i "AJP" tomcat/conf/server.xml</t>
  </si>
  <si>
    <t xml:space="preserve">Geen AJP connector</t>
  </si>
  <si>
    <t xml:space="preserve">2. Authentication</t>
  </si>
  <si>
    <t xml:space="preserve">ALF-2.1</t>
  </si>
  <si>
    <t xml:space="preserve">CIS-4.7, CIS-5.2</t>
  </si>
  <si>
    <t xml:space="preserve">Default admin wachtwoord gewijzigd</t>
  </si>
  <si>
    <t xml:space="preserve">Het standaard admin wachtwoord is gewijzigd naar een sterk wachtwoord.</t>
  </si>
  <si>
    <t xml:space="preserve">Test: curl -u admin:admin https://alfresco/api/-default-/public/alfresco/versions/1/people/admin (should fail)</t>
  </si>
  <si>
    <t xml:space="preserve">401 response</t>
  </si>
  <si>
    <t xml:space="preserve">ALF-2.2</t>
  </si>
  <si>
    <t xml:space="preserve">CIS-5.3, CIS-6.1</t>
  </si>
  <si>
    <t xml:space="preserve">Guest access uitgeschakeld</t>
  </si>
  <si>
    <t xml:space="preserve">Guest user is uitgeschakeld om anonieme toegang te voorkomen.</t>
  </si>
  <si>
    <t xml:space="preserve">grep -i "guest" alfresco-global.properties</t>
  </si>
  <si>
    <t xml:space="preserve">alfresco.authentication.allowGuestLogin=false</t>
  </si>
  <si>
    <t xml:space="preserve">ALF-2.3</t>
  </si>
  <si>
    <t xml:space="preserve">CIS-5.6</t>
  </si>
  <si>
    <t xml:space="preserve">LDAP/AD integratie</t>
  </si>
  <si>
    <t xml:space="preserve">Authenticatie is gekoppeld aan LDAP of Active Directory voor centraal gebruikersbeheer.</t>
  </si>
  <si>
    <t xml:space="preserve">grep -i "ldap\|authentication" alfresco-global.properties</t>
  </si>
  <si>
    <t xml:space="preserve">authentication.chain met ldap</t>
  </si>
  <si>
    <t xml:space="preserve">ALF-2.4</t>
  </si>
  <si>
    <t xml:space="preserve">CIS-4.3, CIS-6.2</t>
  </si>
  <si>
    <t xml:space="preserve">Session timeout geconfigureerd</t>
  </si>
  <si>
    <t xml:space="preserve">Session timeout is ingesteld (aanbevolen: 30 minuten of minder).</t>
  </si>
  <si>
    <t xml:space="preserve">grep -i "ticket.expire" alfresco-global.properties</t>
  </si>
  <si>
    <t xml:space="preserve">authentication.ticket.ticketsExpire=true</t>
  </si>
  <si>
    <t xml:space="preserve">3. Authorization</t>
  </si>
  <si>
    <t xml:space="preserve">ALF-3.1</t>
  </si>
  <si>
    <t xml:space="preserve">CIS-6.6, CIS-3.3</t>
  </si>
  <si>
    <t xml:space="preserve">Permissies correct toegepast</t>
  </si>
  <si>
    <t xml:space="preserve">ACLs zijn correct toegepast met minimale privileges. Geen onnodige "Everyone" permissions.</t>
  </si>
  <si>
    <t xml:space="preserve">Via Share Admin Console of API: check node permissions</t>
  </si>
  <si>
    <t xml:space="preserve">ALF-3.2</t>
  </si>
  <si>
    <t xml:space="preserve">CIS-6.8, CIS-3.12</t>
  </si>
  <si>
    <t xml:space="preserve">Site-gebaseerde toegangscontrole</t>
  </si>
  <si>
    <t xml:space="preserve">Gevoelige content is georganiseerd in private Sites met specifieke membership.</t>
  </si>
  <si>
    <t xml:space="preserve">Review Sites via Share Admin Console</t>
  </si>
  <si>
    <t xml:space="preserve">Private sites voor gevoelige content</t>
  </si>
  <si>
    <t xml:space="preserve">4. Solr Security</t>
  </si>
  <si>
    <t xml:space="preserve">ALF-4.1</t>
  </si>
  <si>
    <t xml:space="preserve">CIS-3.10, CIS-12.6</t>
  </si>
  <si>
    <t xml:space="preserve">Solr communicatie beveiligd</t>
  </si>
  <si>
    <t xml:space="preserve">Communicatie tussen Alfresco Repository en Solr gebruikt mTLS met custom certificaten.</t>
  </si>
  <si>
    <t xml:space="preserve">grep -i "solr.secureComms" alfresco-global.properties</t>
  </si>
  <si>
    <t xml:space="preserve">solr.secureComms=https</t>
  </si>
  <si>
    <t xml:space="preserve">ALF-4.2</t>
  </si>
  <si>
    <t xml:space="preserve">Solr certificaten gegenereerd</t>
  </si>
  <si>
    <t xml:space="preserve">Default Alfresco-gegenereerde certificaten zijn vervangen door custom certificaten.</t>
  </si>
  <si>
    <t xml:space="preserve">openssl s_client -connect localhost:8983 &lt;/dev/null | openssl x509 -noout -issuer -dates</t>
  </si>
  <si>
    <t xml:space="preserve">Custom CA issuer</t>
  </si>
  <si>
    <t xml:space="preserve">ALF-4.3</t>
  </si>
  <si>
    <t xml:space="preserve">CIS-12.2, CIS-13.4</t>
  </si>
  <si>
    <t xml:space="preserve">Solr port niet extern toegankelijk</t>
  </si>
  <si>
    <t xml:space="preserve">Solr poort (8983) is alleen toegankelijk vanaf Alfresco server(s).</t>
  </si>
  <si>
    <t xml:space="preserve">iptables -L -n | grep 8983</t>
  </si>
  <si>
    <t xml:space="preserve">Firewall blokkade</t>
  </si>
  <si>
    <t xml:space="preserve">5. Content Security</t>
  </si>
  <si>
    <t xml:space="preserve">ALF-5.1</t>
  </si>
  <si>
    <t xml:space="preserve">L2</t>
  </si>
  <si>
    <t xml:space="preserve">Nee</t>
  </si>
  <si>
    <t xml:space="preserve">CIS-3.11</t>
  </si>
  <si>
    <t xml:space="preserve">Content encryption at rest</t>
  </si>
  <si>
    <t xml:space="preserve">Gevoelige properties zijn versleuteld in de database via Alfresco keystore.</t>
  </si>
  <si>
    <t xml:space="preserve">grep -i "encryption" alfresco-global.properties
ls -la keystore/</t>
  </si>
  <si>
    <t xml:space="preserve">ALF-5.2</t>
  </si>
  <si>
    <t xml:space="preserve">CIS-10.1</t>
  </si>
  <si>
    <t xml:space="preserve">Virus scanning enabled</t>
  </si>
  <si>
    <t xml:space="preserve">Content wordt gescand op malware bij upload (via AMP of externe scanner).</t>
  </si>
  <si>
    <t xml:space="preserve">ls -la amps/ | grep -i virus</t>
  </si>
  <si>
    <t xml:space="preserve">Antivirus AMP geinstalleerd</t>
  </si>
  <si>
    <t xml:space="preserve">6. API Security</t>
  </si>
  <si>
    <t xml:space="preserve">ALF-6.1</t>
  </si>
  <si>
    <t xml:space="preserve">CIS-6.1, CIS-6.3</t>
  </si>
  <si>
    <t xml:space="preserve">API authenticatie verplicht</t>
  </si>
  <si>
    <t xml:space="preserve">Alle API endpoints vereisen authenticatie. Geen anonymous access.</t>
  </si>
  <si>
    <t xml:space="preserve">curl -I https://alfresco/alfresco/api/-default-/public/alfresco/versions/1/nodes (should return 401)</t>
  </si>
  <si>
    <t xml:space="preserve">401 Unauthorized</t>
  </si>
  <si>
    <t xml:space="preserve">ALF-6.2</t>
  </si>
  <si>
    <t xml:space="preserve">CIS-6.6, CIS-12.2</t>
  </si>
  <si>
    <t xml:space="preserve">WebScript access beperkt</t>
  </si>
  <si>
    <t xml:space="preserve">Directe toegang tot webscripts is beperkt via proxy configuratie.</t>
  </si>
  <si>
    <t xml:space="preserve">Test access to /alfresco/service/ from external network</t>
  </si>
  <si>
    <t xml:space="preserve">Geblokkeerd of authenticated</t>
  </si>
  <si>
    <t xml:space="preserve">7. Share Security</t>
  </si>
  <si>
    <t xml:space="preserve">ALF-7.1</t>
  </si>
  <si>
    <t xml:space="preserve">CIS-16.10</t>
  </si>
  <si>
    <t xml:space="preserve">CSRF protection enabled</t>
  </si>
  <si>
    <t xml:space="preserve">CSRF filters zijn ingeschakeld in Share.</t>
  </si>
  <si>
    <t xml:space="preserve">grep -i "csrf" share-config-custom.xml</t>
  </si>
  <si>
    <t xml:space="preserve">CSRF filter enabled</t>
  </si>
  <si>
    <t xml:space="preserve">ALF-7.2</t>
  </si>
  <si>
    <t xml:space="preserve">CIS-16.10, CIS-4.2</t>
  </si>
  <si>
    <t xml:space="preserve">Clickjacking protection</t>
  </si>
  <si>
    <t xml:space="preserve">X-Frame-Options header is geconfigureerd om clickjacking te voorkomen.</t>
  </si>
  <si>
    <t xml:space="preserve">curl -I https://alfresco/share/ | grep -i "x-frame"</t>
  </si>
  <si>
    <t xml:space="preserve">X-Frame-Options: SAMEORIGIN</t>
  </si>
  <si>
    <t xml:space="preserve">ALF-7.3</t>
  </si>
  <si>
    <t xml:space="preserve">CIS-3.10, CIS-16.10</t>
  </si>
  <si>
    <t xml:space="preserve">Secure cookies</t>
  </si>
  <si>
    <t xml:space="preserve">Session cookies hebben Secure en HttpOnly flags.</t>
  </si>
  <si>
    <t xml:space="preserve">curl -c - https://alfresco/share/ | grep -i "JSESSIONID"</t>
  </si>
  <si>
    <t xml:space="preserve">Secure; HttpOnly</t>
  </si>
  <si>
    <t xml:space="preserve">8. Audit &amp; Logging</t>
  </si>
  <si>
    <t xml:space="preserve">ALF-8.1</t>
  </si>
  <si>
    <t xml:space="preserve">CIS-8.2, CIS-8.1</t>
  </si>
  <si>
    <t xml:space="preserve">Audit logging enabled</t>
  </si>
  <si>
    <t xml:space="preserve">Audit service is ingeschakeld voor het loggen van gebruikersacties.</t>
  </si>
  <si>
    <t xml:space="preserve">grep -i "audit" alfresco-global.properties</t>
  </si>
  <si>
    <t xml:space="preserve">audit.enabled=true</t>
  </si>
  <si>
    <t xml:space="preserve">ALF-8.2</t>
  </si>
  <si>
    <t xml:space="preserve">CIS-8.9</t>
  </si>
  <si>
    <t xml:space="preserve">Log forwarding</t>
  </si>
  <si>
    <t xml:space="preserve">Logs worden doorgestuurd naar centraal logging systeem.</t>
  </si>
  <si>
    <t xml:space="preserve">Check log4j configuration for syslog/remote appenders</t>
  </si>
  <si>
    <t xml:space="preserve">Metric</t>
  </si>
  <si>
    <t xml:space="preserve">Value</t>
  </si>
  <si>
    <t xml:space="preserve">Assessment: Alfresco</t>
  </si>
  <si>
    <t xml:space="preserve">OVERZICHT</t>
  </si>
  <si>
    <t xml:space="preserve">Totaal L1 Maatregelen</t>
  </si>
  <si>
    <t xml:space="preserve">Totaal L2 Maatregelen</t>
  </si>
  <si>
    <t xml:space="preserve">Totaal Maatregelen</t>
  </si>
  <si>
    <t xml:space="preserve">BASELINE ANALYSE</t>
  </si>
  <si>
    <t xml:space="preserve">Baseline maatregelen (berekend)</t>
  </si>
  <si>
    <t xml:space="preserve">Baseline maatregelen (huidig)</t>
  </si>
  <si>
    <t xml:space="preserve">Niet-baseline maatregelen</t>
  </si>
  <si>
    <t xml:space="preserve">STATUS TELLING (alle maatregelen)</t>
  </si>
  <si>
    <t xml:space="preserve">Compliant</t>
  </si>
  <si>
    <t xml:space="preserve">Partial</t>
  </si>
  <si>
    <t xml:space="preserve">Non-Compliant</t>
  </si>
  <si>
    <t xml:space="preserve">N/A</t>
  </si>
  <si>
    <t xml:space="preserve">BASELINE STATUS (alleen baseline=Ja)</t>
  </si>
  <si>
    <t xml:space="preserve">Baseline Compliant</t>
  </si>
  <si>
    <t xml:space="preserve">Baseline Partial</t>
  </si>
  <si>
    <t xml:space="preserve">Baseline Non-Compliant</t>
  </si>
  <si>
    <t xml:space="preserve">Baseline N/A</t>
  </si>
  <si>
    <t xml:space="preserve">COMPLIANCE SCORES</t>
  </si>
  <si>
    <t xml:space="preserve">Totaal Score % (excl. N/A)</t>
  </si>
  <si>
    <t xml:space="preserve">Baseline Score % (excl. N/A)</t>
  </si>
  <si>
    <t xml:space="preserve">SCORE INTERPRETATIE</t>
  </si>
  <si>
    <t xml:space="preserve">90-100%: Uitstekend</t>
  </si>
  <si>
    <t xml:space="preserve">Onderhoud huidige status</t>
  </si>
  <si>
    <t xml:space="preserve">75-89%: Goed</t>
  </si>
  <si>
    <t xml:space="preserve">Plan verbeteringen</t>
  </si>
  <si>
    <t xml:space="preserve">50-74%: Matig</t>
  </si>
  <si>
    <t xml:space="preserve">Actie vereist binnen 3 maanden</t>
  </si>
  <si>
    <t xml:space="preserve">0-49%: Onvoldoende</t>
  </si>
  <si>
    <t xml:space="preserve">Urgente actie vereist</t>
  </si>
  <si>
    <t xml:space="preserve">EXPORTEER ASSESSMENT RESULTATEN NAAR VAULT</t>
  </si>
  <si>
    <t xml:space="preserve">Vul onderstaande gegevens in:</t>
  </si>
  <si>
    <t xml:space="preserve">Systeem:</t>
  </si>
  <si>
    <t xml:space="preserve">XENA-ZGW</t>
  </si>
  <si>
    <t xml:space="preserve">Omgeving:</t>
  </si>
  <si>
    <t xml:space="preserve">Productie</t>
  </si>
  <si>
    <t xml:space="preserve">Assessment Datum:</t>
  </si>
  <si>
    <t xml:space="preserve">2026-02-11</t>
  </si>
  <si>
    <t xml:space="preserve">EXPORT KNOP</t>
  </si>
  <si>
    <t xml:space="preserve">[ Exporteer naar Vault ]</t>
  </si>
  <si>
    <t xml:space="preserve">MACRO INSTALLATIE (eenmalig)</t>
  </si>
  <si>
    <t xml:space="preserve">1. Open dit bestand in Excel</t>
  </si>
  <si>
    <t xml:space="preserve">2. Druk Alt+F11 om de VBA Editor te openen</t>
  </si>
  <si>
    <t xml:space="preserve">3. Ga naar File &gt; Import File</t>
  </si>
  <si>
    <t xml:space="preserve">4. Selecteer: SCF_Export_Module.bas (zelfde map als dit bestand)</t>
  </si>
  <si>
    <t xml:space="preserve">5. Sluit de VBA Editor (Alt+Q)</t>
  </si>
  <si>
    <t xml:space="preserve">6. In Excel: druk Alt+F8, selecteer 'CreateExportButton', klik Run</t>
  </si>
  <si>
    <t xml:space="preserve">7. Sla het bestand op als .xlsm (Excel Macro-Enabled Workbook)</t>
  </si>
  <si>
    <t xml:space="preserve">Na installatie: klik op de knop hierboven om te exporteren.</t>
  </si>
  <si>
    <t xml:space="preserve">HANDMATIGE EXPORT (zonder macro)</t>
  </si>
  <si>
    <t xml:space="preserve">Als macro's niet mogelijk zijn, kopieer de gegenereerde Markdown hieronder:</t>
  </si>
  <si>
    <t xml:space="preserve">MARKDOWN OUTPUT:</t>
  </si>
  <si>
    <t xml:space="preserve">---</t>
  </si>
  <si>
    <t xml:space="preserve">type: assessment-result</t>
  </si>
  <si>
    <t xml:space="preserve">component: Alfresco</t>
  </si>
  <si>
    <t xml:space="preserve">benchmark: EXT-BM-Alfresco-v1.0</t>
  </si>
  <si>
    <t xml:space="preserve"># Scores</t>
  </si>
  <si>
    <t xml:space="preserve"># Tellingen</t>
  </si>
  <si>
    <t xml:space="preserve"># Assessment Result: Alfresco</t>
  </si>
  <si>
    <t xml:space="preserve">## Samenvatting</t>
  </si>
  <si>
    <t xml:space="preserve">| Metric | Waarde |</t>
  </si>
  <si>
    <t xml:space="preserve">|--------|--------|</t>
  </si>
  <si>
    <t xml:space="preserve">TIP: Met macro geïnstalleerd wordt ook Non-Compliant en Partial items automatisch toegevoegd.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</si>
</sst>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\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11"/>
      <color rgb="FF666666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CC4E00"/>
        <bgColor rgb="FF993300"/>
      </patternFill>
    </fill>
    <fill>
      <patternFill patternType="solid">
        <fgColor rgb="FFD9E2F3"/>
        <bgColor rgb="FFE8F4E8"/>
      </patternFill>
    </fill>
    <fill>
      <patternFill patternType="solid">
        <fgColor rgb="FFE8F4E8"/>
        <bgColor rgb="FFFFF3E0"/>
      </patternFill>
    </fill>
    <fill>
      <patternFill patternType="solid">
        <fgColor rgb="FFFFF3E0"/>
        <bgColor rgb="FFFFFFCC"/>
      </patternFill>
    </fill>
    <fill>
      <patternFill patternType="solid">
        <fgColor rgb="FFFFFFCC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E0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CC4E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</row>
    <row r="7" customFormat="false" ht="15" hidden="false" customHeight="false" outlineLevel="0" collapsed="false">
      <c r="A7" s="0" t="s">
        <v>4</v>
      </c>
    </row>
    <row r="9" customFormat="false" ht="15" hidden="false" customHeight="false" outlineLevel="0" collapsed="false">
      <c r="A9" s="2" t="s">
        <v>5</v>
      </c>
    </row>
    <row r="11" customFormat="false" ht="15" hidden="false" customHeight="false" outlineLevel="0" collapsed="false">
      <c r="A11" s="0" t="s">
        <v>6</v>
      </c>
    </row>
    <row r="12" customFormat="false" ht="15" hidden="false" customHeight="false" outlineLevel="0" collapsed="false">
      <c r="A12" s="0" t="s">
        <v>7</v>
      </c>
    </row>
    <row r="13" customFormat="false" ht="15" hidden="false" customHeight="false" outlineLevel="0" collapsed="false">
      <c r="A13" s="0" t="s">
        <v>8</v>
      </c>
    </row>
    <row r="14" customFormat="false" ht="15" hidden="false" customHeight="false" outlineLevel="0" collapsed="false">
      <c r="A14" s="0" t="s">
        <v>9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A16" s="0" t="s">
        <v>11</v>
      </c>
    </row>
    <row r="17" customFormat="false" ht="15" hidden="false" customHeight="false" outlineLevel="0" collapsed="false">
      <c r="A17" s="0" t="s">
        <v>12</v>
      </c>
    </row>
    <row r="18" customFormat="false" ht="15" hidden="false" customHeight="false" outlineLevel="0" collapsed="false">
      <c r="A18" s="0" t="s">
        <v>13</v>
      </c>
    </row>
    <row r="19" customFormat="false" ht="15" hidden="false" customHeight="false" outlineLevel="0" collapsed="false">
      <c r="A19" s="0" t="s">
        <v>14</v>
      </c>
    </row>
    <row r="20" customFormat="false" ht="15" hidden="false" customHeight="false" outlineLevel="0" collapsed="false">
      <c r="A20" s="0" t="s">
        <v>15</v>
      </c>
    </row>
    <row r="21" customFormat="false" ht="15" hidden="false" customHeight="false" outlineLevel="0" collapsed="false">
      <c r="A21" s="0" t="s">
        <v>16</v>
      </c>
    </row>
    <row r="22" customFormat="false" ht="15" hidden="false" customHeight="false" outlineLevel="0" collapsed="false">
      <c r="A22" s="0" t="s">
        <v>17</v>
      </c>
    </row>
    <row r="23" customFormat="false" ht="15" hidden="false" customHeight="false" outlineLevel="0" collapsed="false">
      <c r="A23" s="0" t="s">
        <v>18</v>
      </c>
    </row>
    <row r="24" customFormat="false" ht="15" hidden="false" customHeight="false" outlineLevel="0" collapsed="false">
      <c r="A24" s="0" t="s">
        <v>19</v>
      </c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0" t="s">
        <v>21</v>
      </c>
    </row>
    <row r="28" customFormat="false" ht="15" hidden="false" customHeight="false" outlineLevel="0" collapsed="false">
      <c r="A28" s="0" t="s">
        <v>22</v>
      </c>
    </row>
    <row r="30" customFormat="false" ht="15" hidden="false" customHeight="false" outlineLevel="0" collapsed="false">
      <c r="A30" s="2" t="s">
        <v>23</v>
      </c>
    </row>
    <row r="31" customFormat="false" ht="15" hidden="false" customHeight="false" outlineLevel="0" collapsed="false">
      <c r="A31" s="0" t="s">
        <v>24</v>
      </c>
    </row>
    <row r="32" customFormat="false" ht="15" hidden="false" customHeight="false" outlineLevel="0" collapsed="false">
      <c r="A32" s="0" t="s">
        <v>25</v>
      </c>
    </row>
    <row r="33" customFormat="false" ht="15" hidden="false" customHeight="false" outlineLevel="0" collapsed="false">
      <c r="A33" s="0" t="s">
        <v>26</v>
      </c>
    </row>
    <row r="35" customFormat="false" ht="15" hidden="false" customHeight="false" outlineLevel="0" collapsed="false">
      <c r="A35" s="0" t="s">
        <v>27</v>
      </c>
    </row>
    <row r="36" customFormat="false" ht="15" hidden="false" customHeight="false" outlineLevel="0" collapsed="false">
      <c r="A36" s="0" t="s">
        <v>28</v>
      </c>
    </row>
    <row r="37" customFormat="false" ht="15" hidden="false" customHeight="false" outlineLevel="0" collapsed="false">
      <c r="A37" s="0" t="s">
        <v>29</v>
      </c>
    </row>
    <row r="39" customFormat="false" ht="15" hidden="false" customHeight="false" outlineLevel="0" collapsed="false">
      <c r="A39" s="0" t="s">
        <v>30</v>
      </c>
    </row>
    <row r="40" customFormat="false" ht="15" hidden="false" customHeight="false" outlineLevel="0" collapsed="false">
      <c r="A40" s="0" t="s">
        <v>31</v>
      </c>
    </row>
    <row r="41" customFormat="false" ht="15" hidden="false" customHeight="false" outlineLevel="0" collapsed="false">
      <c r="A41" s="0" t="s">
        <v>32</v>
      </c>
    </row>
    <row r="43" customFormat="false" ht="15" hidden="false" customHeight="false" outlineLevel="0" collapsed="false">
      <c r="A43" s="2" t="s">
        <v>33</v>
      </c>
    </row>
    <row r="44" customFormat="false" ht="15" hidden="false" customHeight="false" outlineLevel="0" collapsed="false">
      <c r="A44" s="0" t="s">
        <v>34</v>
      </c>
    </row>
    <row r="45" customFormat="false" ht="15" hidden="false" customHeight="false" outlineLevel="0" collapsed="false">
      <c r="A45" s="0" t="s">
        <v>35</v>
      </c>
    </row>
    <row r="46" customFormat="false" ht="15" hidden="false" customHeight="false" outlineLevel="0" collapsed="false">
      <c r="A46" s="0" t="s">
        <v>36</v>
      </c>
    </row>
    <row r="47" customFormat="false" ht="15" hidden="false" customHeight="false" outlineLevel="0" collapsed="false">
      <c r="A47" s="0" t="s">
        <v>37</v>
      </c>
    </row>
    <row r="48" customFormat="false" ht="15" hidden="false" customHeight="false" outlineLevel="0" collapsed="false">
      <c r="A48" s="0" t="s">
        <v>38</v>
      </c>
    </row>
    <row r="49" customFormat="false" ht="15" hidden="false" customHeight="false" outlineLevel="0" collapsed="false">
      <c r="A49" s="0" t="s">
        <v>39</v>
      </c>
    </row>
    <row r="51" customFormat="false" ht="15" hidden="false" customHeight="false" outlineLevel="0" collapsed="false">
      <c r="A51" s="2" t="s">
        <v>40</v>
      </c>
    </row>
    <row r="52" customFormat="false" ht="15" hidden="false" customHeight="false" outlineLevel="0" collapsed="false">
      <c r="A52" s="0" t="s">
        <v>41</v>
      </c>
    </row>
    <row r="53" customFormat="false" ht="15" hidden="false" customHeight="false" outlineLevel="0" collapsed="false">
      <c r="A53" s="0" t="s">
        <v>42</v>
      </c>
    </row>
    <row r="54" customFormat="false" ht="15" hidden="false" customHeight="false" outlineLevel="0" collapsed="false">
      <c r="A54" s="0" t="s">
        <v>43</v>
      </c>
    </row>
    <row r="55" customFormat="false" ht="15" hidden="false" customHeight="false" outlineLevel="0" collapsed="false">
      <c r="A55" s="0" t="s">
        <v>44</v>
      </c>
    </row>
    <row r="56" customFormat="false" ht="15" hidden="false" customHeight="false" outlineLevel="0" collapsed="false">
      <c r="A56" s="0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32"/>
    <col collapsed="false" customWidth="true" hidden="false" outlineLevel="0" max="6" min="6" style="0" width="45"/>
    <col collapsed="false" customWidth="true" hidden="false" outlineLevel="0" max="7" min="7" style="0" width="40"/>
    <col collapsed="false" customWidth="true" hidden="false" outlineLevel="0" max="8" min="8" style="0" width="25"/>
    <col collapsed="false" customWidth="true" hidden="false" outlineLevel="0" max="9" min="9" style="0" width="14"/>
    <col collapsed="false" customWidth="true" hidden="false" outlineLevel="0" max="11" min="10" style="0" width="25"/>
    <col collapsed="false" customWidth="true" hidden="false" outlineLevel="0" max="12" min="12" style="0" width="16"/>
  </cols>
  <sheetData>
    <row r="1" customFormat="false" ht="30" hidden="false" customHeight="true" outlineLevel="0" collapsed="false">
      <c r="A1" s="3" t="s">
        <v>46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55</v>
      </c>
      <c r="K1" s="3" t="s">
        <v>56</v>
      </c>
      <c r="L1" s="3" t="s">
        <v>57</v>
      </c>
    </row>
    <row r="2" customFormat="false" ht="15" hidden="false" customHeight="false" outlineLevel="0" collapsed="false">
      <c r="A2" s="4" t="s">
        <v>58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60" hidden="false" customHeight="true" outlineLevel="0" collapsed="false">
      <c r="A3" s="5" t="s">
        <v>59</v>
      </c>
      <c r="B3" s="6" t="s">
        <v>60</v>
      </c>
      <c r="C3" s="6" t="s">
        <v>61</v>
      </c>
      <c r="D3" s="5" t="s">
        <v>62</v>
      </c>
      <c r="E3" s="5" t="s">
        <v>63</v>
      </c>
      <c r="F3" s="5" t="s">
        <v>64</v>
      </c>
      <c r="G3" s="5" t="s">
        <v>65</v>
      </c>
      <c r="H3" s="5" t="s">
        <v>66</v>
      </c>
      <c r="I3" s="7"/>
      <c r="J3" s="5"/>
      <c r="K3" s="5"/>
      <c r="L3" s="5"/>
    </row>
    <row r="4" customFormat="false" ht="60" hidden="false" customHeight="true" outlineLevel="0" collapsed="false">
      <c r="A4" s="5" t="s">
        <v>67</v>
      </c>
      <c r="B4" s="6" t="s">
        <v>60</v>
      </c>
      <c r="C4" s="6" t="s">
        <v>61</v>
      </c>
      <c r="D4" s="5" t="s">
        <v>68</v>
      </c>
      <c r="E4" s="5" t="s">
        <v>69</v>
      </c>
      <c r="F4" s="5" t="s">
        <v>70</v>
      </c>
      <c r="G4" s="5" t="s">
        <v>71</v>
      </c>
      <c r="H4" s="5" t="s">
        <v>72</v>
      </c>
      <c r="I4" s="7"/>
      <c r="J4" s="5"/>
      <c r="K4" s="5"/>
      <c r="L4" s="5"/>
    </row>
    <row r="5" customFormat="false" ht="60" hidden="false" customHeight="true" outlineLevel="0" collapsed="false">
      <c r="A5" s="5" t="s">
        <v>73</v>
      </c>
      <c r="B5" s="6" t="s">
        <v>60</v>
      </c>
      <c r="C5" s="6" t="s">
        <v>61</v>
      </c>
      <c r="D5" s="5" t="s">
        <v>74</v>
      </c>
      <c r="E5" s="5" t="s">
        <v>75</v>
      </c>
      <c r="F5" s="5" t="s">
        <v>76</v>
      </c>
      <c r="G5" s="5" t="s">
        <v>77</v>
      </c>
      <c r="H5" s="5" t="s">
        <v>78</v>
      </c>
      <c r="I5" s="7"/>
      <c r="J5" s="5"/>
      <c r="K5" s="5"/>
      <c r="L5" s="5"/>
    </row>
    <row r="6" customFormat="false" ht="15" hidden="false" customHeight="false" outlineLevel="0" collapsed="false">
      <c r="A6" s="4" t="s">
        <v>79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customFormat="false" ht="60" hidden="false" customHeight="true" outlineLevel="0" collapsed="false">
      <c r="A7" s="5" t="s">
        <v>80</v>
      </c>
      <c r="B7" s="6" t="s">
        <v>60</v>
      </c>
      <c r="C7" s="6" t="s">
        <v>61</v>
      </c>
      <c r="D7" s="5" t="s">
        <v>81</v>
      </c>
      <c r="E7" s="5" t="s">
        <v>82</v>
      </c>
      <c r="F7" s="5" t="s">
        <v>83</v>
      </c>
      <c r="G7" s="5" t="s">
        <v>84</v>
      </c>
      <c r="H7" s="5" t="s">
        <v>85</v>
      </c>
      <c r="I7" s="7"/>
      <c r="J7" s="5"/>
      <c r="K7" s="5"/>
      <c r="L7" s="5"/>
    </row>
    <row r="8" customFormat="false" ht="60" hidden="false" customHeight="true" outlineLevel="0" collapsed="false">
      <c r="A8" s="5" t="s">
        <v>86</v>
      </c>
      <c r="B8" s="6" t="s">
        <v>60</v>
      </c>
      <c r="C8" s="6" t="s">
        <v>61</v>
      </c>
      <c r="D8" s="5" t="s">
        <v>87</v>
      </c>
      <c r="E8" s="5" t="s">
        <v>88</v>
      </c>
      <c r="F8" s="5" t="s">
        <v>89</v>
      </c>
      <c r="G8" s="5" t="s">
        <v>90</v>
      </c>
      <c r="H8" s="5" t="s">
        <v>91</v>
      </c>
      <c r="I8" s="7"/>
      <c r="J8" s="5"/>
      <c r="K8" s="5"/>
      <c r="L8" s="5"/>
    </row>
    <row r="9" customFormat="false" ht="60" hidden="false" customHeight="true" outlineLevel="0" collapsed="false">
      <c r="A9" s="5" t="s">
        <v>92</v>
      </c>
      <c r="B9" s="6" t="s">
        <v>60</v>
      </c>
      <c r="C9" s="6" t="s">
        <v>61</v>
      </c>
      <c r="D9" s="5" t="s">
        <v>93</v>
      </c>
      <c r="E9" s="5" t="s">
        <v>94</v>
      </c>
      <c r="F9" s="5" t="s">
        <v>95</v>
      </c>
      <c r="G9" s="5" t="s">
        <v>96</v>
      </c>
      <c r="H9" s="5" t="s">
        <v>97</v>
      </c>
      <c r="I9" s="7"/>
      <c r="J9" s="5"/>
      <c r="K9" s="5"/>
      <c r="L9" s="5"/>
    </row>
    <row r="10" customFormat="false" ht="60" hidden="false" customHeight="true" outlineLevel="0" collapsed="false">
      <c r="A10" s="5" t="s">
        <v>98</v>
      </c>
      <c r="B10" s="6" t="s">
        <v>60</v>
      </c>
      <c r="C10" s="6" t="s">
        <v>61</v>
      </c>
      <c r="D10" s="5" t="s">
        <v>99</v>
      </c>
      <c r="E10" s="5" t="s">
        <v>100</v>
      </c>
      <c r="F10" s="5" t="s">
        <v>101</v>
      </c>
      <c r="G10" s="5" t="s">
        <v>102</v>
      </c>
      <c r="H10" s="5" t="s">
        <v>103</v>
      </c>
      <c r="I10" s="7"/>
      <c r="J10" s="5"/>
      <c r="K10" s="5"/>
      <c r="L10" s="5"/>
    </row>
    <row r="11" customFormat="false" ht="15" hidden="false" customHeight="false" outlineLevel="0" collapsed="false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60" hidden="false" customHeight="true" outlineLevel="0" collapsed="false">
      <c r="A12" s="5" t="s">
        <v>105</v>
      </c>
      <c r="B12" s="6" t="s">
        <v>60</v>
      </c>
      <c r="C12" s="6" t="s">
        <v>61</v>
      </c>
      <c r="D12" s="5" t="s">
        <v>106</v>
      </c>
      <c r="E12" s="5" t="s">
        <v>107</v>
      </c>
      <c r="F12" s="5" t="s">
        <v>108</v>
      </c>
      <c r="G12" s="5" t="s">
        <v>109</v>
      </c>
      <c r="H12" s="5"/>
      <c r="I12" s="7"/>
      <c r="J12" s="5"/>
      <c r="K12" s="5"/>
      <c r="L12" s="5"/>
    </row>
    <row r="13" customFormat="false" ht="60" hidden="false" customHeight="true" outlineLevel="0" collapsed="false">
      <c r="A13" s="5" t="s">
        <v>110</v>
      </c>
      <c r="B13" s="6" t="s">
        <v>60</v>
      </c>
      <c r="C13" s="6" t="s">
        <v>61</v>
      </c>
      <c r="D13" s="5" t="s">
        <v>111</v>
      </c>
      <c r="E13" s="5" t="s">
        <v>112</v>
      </c>
      <c r="F13" s="5" t="s">
        <v>113</v>
      </c>
      <c r="G13" s="5" t="s">
        <v>114</v>
      </c>
      <c r="H13" s="5" t="s">
        <v>115</v>
      </c>
      <c r="I13" s="7"/>
      <c r="J13" s="5"/>
      <c r="K13" s="5"/>
      <c r="L13" s="5"/>
    </row>
    <row r="14" customFormat="false" ht="15" hidden="false" customHeight="false" outlineLevel="0" collapsed="false">
      <c r="A14" s="4" t="s">
        <v>116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customFormat="false" ht="60" hidden="false" customHeight="true" outlineLevel="0" collapsed="false">
      <c r="A15" s="5" t="s">
        <v>117</v>
      </c>
      <c r="B15" s="6" t="s">
        <v>60</v>
      </c>
      <c r="C15" s="6" t="s">
        <v>61</v>
      </c>
      <c r="D15" s="5" t="s">
        <v>118</v>
      </c>
      <c r="E15" s="5" t="s">
        <v>119</v>
      </c>
      <c r="F15" s="5" t="s">
        <v>120</v>
      </c>
      <c r="G15" s="5" t="s">
        <v>121</v>
      </c>
      <c r="H15" s="5" t="s">
        <v>122</v>
      </c>
      <c r="I15" s="7"/>
      <c r="J15" s="5"/>
      <c r="K15" s="5"/>
      <c r="L15" s="5"/>
    </row>
    <row r="16" customFormat="false" ht="60" hidden="false" customHeight="true" outlineLevel="0" collapsed="false">
      <c r="A16" s="5" t="s">
        <v>123</v>
      </c>
      <c r="B16" s="6" t="s">
        <v>60</v>
      </c>
      <c r="C16" s="6" t="s">
        <v>61</v>
      </c>
      <c r="D16" s="5" t="s">
        <v>62</v>
      </c>
      <c r="E16" s="5" t="s">
        <v>124</v>
      </c>
      <c r="F16" s="5" t="s">
        <v>125</v>
      </c>
      <c r="G16" s="5" t="s">
        <v>126</v>
      </c>
      <c r="H16" s="5" t="s">
        <v>127</v>
      </c>
      <c r="I16" s="7"/>
      <c r="J16" s="5"/>
      <c r="K16" s="5"/>
      <c r="L16" s="5"/>
    </row>
    <row r="17" customFormat="false" ht="60" hidden="false" customHeight="true" outlineLevel="0" collapsed="false">
      <c r="A17" s="5" t="s">
        <v>128</v>
      </c>
      <c r="B17" s="6" t="s">
        <v>60</v>
      </c>
      <c r="C17" s="6" t="s">
        <v>61</v>
      </c>
      <c r="D17" s="5" t="s">
        <v>129</v>
      </c>
      <c r="E17" s="5" t="s">
        <v>130</v>
      </c>
      <c r="F17" s="5" t="s">
        <v>131</v>
      </c>
      <c r="G17" s="5" t="s">
        <v>132</v>
      </c>
      <c r="H17" s="5" t="s">
        <v>133</v>
      </c>
      <c r="I17" s="7"/>
      <c r="J17" s="5"/>
      <c r="K17" s="5"/>
      <c r="L17" s="5"/>
    </row>
    <row r="18" customFormat="false" ht="15" hidden="false" customHeight="false" outlineLevel="0" collapsed="false">
      <c r="A18" s="4" t="s">
        <v>134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customFormat="false" ht="60" hidden="false" customHeight="true" outlineLevel="0" collapsed="false">
      <c r="A19" s="8" t="s">
        <v>135</v>
      </c>
      <c r="B19" s="9" t="s">
        <v>136</v>
      </c>
      <c r="C19" s="9" t="s">
        <v>137</v>
      </c>
      <c r="D19" s="8" t="s">
        <v>138</v>
      </c>
      <c r="E19" s="8" t="s">
        <v>139</v>
      </c>
      <c r="F19" s="8" t="s">
        <v>140</v>
      </c>
      <c r="G19" s="8" t="s">
        <v>141</v>
      </c>
      <c r="H19" s="8"/>
      <c r="I19" s="10"/>
      <c r="J19" s="8"/>
      <c r="K19" s="8"/>
      <c r="L19" s="8"/>
    </row>
    <row r="20" customFormat="false" ht="60" hidden="false" customHeight="true" outlineLevel="0" collapsed="false">
      <c r="A20" s="5" t="s">
        <v>142</v>
      </c>
      <c r="B20" s="6" t="s">
        <v>60</v>
      </c>
      <c r="C20" s="6" t="s">
        <v>61</v>
      </c>
      <c r="D20" s="5" t="s">
        <v>143</v>
      </c>
      <c r="E20" s="5" t="s">
        <v>144</v>
      </c>
      <c r="F20" s="5" t="s">
        <v>145</v>
      </c>
      <c r="G20" s="5" t="s">
        <v>146</v>
      </c>
      <c r="H20" s="5" t="s">
        <v>147</v>
      </c>
      <c r="I20" s="7"/>
      <c r="J20" s="5"/>
      <c r="K20" s="5"/>
      <c r="L20" s="5"/>
    </row>
    <row r="21" customFormat="false" ht="15" hidden="false" customHeight="false" outlineLevel="0" collapsed="false">
      <c r="A21" s="4" t="s">
        <v>148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60" hidden="false" customHeight="true" outlineLevel="0" collapsed="false">
      <c r="A22" s="5" t="s">
        <v>149</v>
      </c>
      <c r="B22" s="6" t="s">
        <v>60</v>
      </c>
      <c r="C22" s="6" t="s">
        <v>61</v>
      </c>
      <c r="D22" s="5" t="s">
        <v>150</v>
      </c>
      <c r="E22" s="5" t="s">
        <v>151</v>
      </c>
      <c r="F22" s="5" t="s">
        <v>152</v>
      </c>
      <c r="G22" s="5" t="s">
        <v>153</v>
      </c>
      <c r="H22" s="5" t="s">
        <v>154</v>
      </c>
      <c r="I22" s="7"/>
      <c r="J22" s="5"/>
      <c r="K22" s="5"/>
      <c r="L22" s="5"/>
    </row>
    <row r="23" customFormat="false" ht="60" hidden="false" customHeight="true" outlineLevel="0" collapsed="false">
      <c r="A23" s="5" t="s">
        <v>155</v>
      </c>
      <c r="B23" s="6" t="s">
        <v>60</v>
      </c>
      <c r="C23" s="6" t="s">
        <v>61</v>
      </c>
      <c r="D23" s="5" t="s">
        <v>156</v>
      </c>
      <c r="E23" s="5" t="s">
        <v>157</v>
      </c>
      <c r="F23" s="5" t="s">
        <v>158</v>
      </c>
      <c r="G23" s="5" t="s">
        <v>159</v>
      </c>
      <c r="H23" s="5" t="s">
        <v>160</v>
      </c>
      <c r="I23" s="7"/>
      <c r="J23" s="5"/>
      <c r="K23" s="5"/>
      <c r="L23" s="5"/>
    </row>
    <row r="24" customFormat="false" ht="15" hidden="false" customHeight="false" outlineLevel="0" collapsed="false">
      <c r="A24" s="4" t="s">
        <v>161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customFormat="false" ht="60" hidden="false" customHeight="true" outlineLevel="0" collapsed="false">
      <c r="A25" s="5" t="s">
        <v>162</v>
      </c>
      <c r="B25" s="6" t="s">
        <v>60</v>
      </c>
      <c r="C25" s="6" t="s">
        <v>61</v>
      </c>
      <c r="D25" s="5" t="s">
        <v>163</v>
      </c>
      <c r="E25" s="5" t="s">
        <v>164</v>
      </c>
      <c r="F25" s="5" t="s">
        <v>165</v>
      </c>
      <c r="G25" s="5" t="s">
        <v>166</v>
      </c>
      <c r="H25" s="5" t="s">
        <v>167</v>
      </c>
      <c r="I25" s="7"/>
      <c r="J25" s="5"/>
      <c r="K25" s="5"/>
      <c r="L25" s="5"/>
    </row>
    <row r="26" customFormat="false" ht="60" hidden="false" customHeight="true" outlineLevel="0" collapsed="false">
      <c r="A26" s="5" t="s">
        <v>168</v>
      </c>
      <c r="B26" s="6" t="s">
        <v>60</v>
      </c>
      <c r="C26" s="6" t="s">
        <v>61</v>
      </c>
      <c r="D26" s="5" t="s">
        <v>169</v>
      </c>
      <c r="E26" s="5" t="s">
        <v>170</v>
      </c>
      <c r="F26" s="5" t="s">
        <v>171</v>
      </c>
      <c r="G26" s="5" t="s">
        <v>172</v>
      </c>
      <c r="H26" s="5" t="s">
        <v>173</v>
      </c>
      <c r="I26" s="7"/>
      <c r="J26" s="5"/>
      <c r="K26" s="5"/>
      <c r="L26" s="5"/>
    </row>
    <row r="27" customFormat="false" ht="60" hidden="false" customHeight="true" outlineLevel="0" collapsed="false">
      <c r="A27" s="5" t="s">
        <v>174</v>
      </c>
      <c r="B27" s="6" t="s">
        <v>60</v>
      </c>
      <c r="C27" s="6" t="s">
        <v>61</v>
      </c>
      <c r="D27" s="5" t="s">
        <v>175</v>
      </c>
      <c r="E27" s="5" t="s">
        <v>176</v>
      </c>
      <c r="F27" s="5" t="s">
        <v>177</v>
      </c>
      <c r="G27" s="5" t="s">
        <v>178</v>
      </c>
      <c r="H27" s="5" t="s">
        <v>179</v>
      </c>
      <c r="I27" s="7"/>
      <c r="J27" s="5"/>
      <c r="K27" s="5"/>
      <c r="L27" s="5"/>
    </row>
    <row r="28" customFormat="false" ht="15" hidden="false" customHeight="false" outlineLevel="0" collapsed="false">
      <c r="A28" s="4" t="s">
        <v>180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60" hidden="false" customHeight="true" outlineLevel="0" collapsed="false">
      <c r="A29" s="5" t="s">
        <v>181</v>
      </c>
      <c r="B29" s="6" t="s">
        <v>60</v>
      </c>
      <c r="C29" s="6" t="s">
        <v>61</v>
      </c>
      <c r="D29" s="5" t="s">
        <v>182</v>
      </c>
      <c r="E29" s="5" t="s">
        <v>183</v>
      </c>
      <c r="F29" s="5" t="s">
        <v>184</v>
      </c>
      <c r="G29" s="5" t="s">
        <v>185</v>
      </c>
      <c r="H29" s="5" t="s">
        <v>186</v>
      </c>
      <c r="I29" s="7"/>
      <c r="J29" s="5"/>
      <c r="K29" s="5"/>
      <c r="L29" s="5"/>
    </row>
    <row r="30" customFormat="false" ht="60" hidden="false" customHeight="true" outlineLevel="0" collapsed="false">
      <c r="A30" s="5" t="s">
        <v>187</v>
      </c>
      <c r="B30" s="6" t="s">
        <v>60</v>
      </c>
      <c r="C30" s="6" t="s">
        <v>61</v>
      </c>
      <c r="D30" s="5" t="s">
        <v>188</v>
      </c>
      <c r="E30" s="5" t="s">
        <v>189</v>
      </c>
      <c r="F30" s="5" t="s">
        <v>190</v>
      </c>
      <c r="G30" s="5" t="s">
        <v>191</v>
      </c>
      <c r="H30" s="5"/>
      <c r="I30" s="7"/>
      <c r="J30" s="5"/>
      <c r="K30" s="5"/>
      <c r="L30" s="5"/>
    </row>
  </sheetData>
  <mergeCells count="8">
    <mergeCell ref="A2:L2"/>
    <mergeCell ref="A6:L6"/>
    <mergeCell ref="A11:L11"/>
    <mergeCell ref="A14:L14"/>
    <mergeCell ref="A18:L18"/>
    <mergeCell ref="A21:L21"/>
    <mergeCell ref="A24:L24"/>
    <mergeCell ref="A28:L28"/>
  </mergeCells>
  <dataValidations count="2">
    <dataValidation allowBlank="true" error="Kies een geldige status" errorStyle="stop" operator="between" showDropDown="false" showErrorMessage="false" showInputMessage="false" sqref="I3:I5 I7:I10 I12:I13 I15:I17 I19:I20 I22:I23 I25:I27 I29:I30" type="list">
      <formula1>"Compliant,Partial,Non-Compliant,N/A"</formula1>
      <formula2>0</formula2>
    </dataValidation>
    <dataValidation allowBlank="false" error="Kies Ja of Nee" errorStyle="stop" operator="between" showDropDown="false" showErrorMessage="false" showInputMessage="false" sqref="C3:C5 C7:C10 C12:C13 C15:C17 C19:C20 C22:C23 C25:C27 C29:C30" type="list">
      <formula1>"Ja,Nee"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1" t="s">
        <v>192</v>
      </c>
      <c r="B1" s="11" t="s">
        <v>193</v>
      </c>
    </row>
    <row r="2" customFormat="false" ht="15" hidden="false" customHeight="false" outlineLevel="0" collapsed="false">
      <c r="A2" s="12" t="s">
        <v>194</v>
      </c>
      <c r="B2" s="12"/>
    </row>
    <row r="3" customFormat="false" ht="15" hidden="false" customHeight="false" outlineLevel="0" collapsed="false">
      <c r="A3" s="12"/>
      <c r="B3" s="12"/>
    </row>
    <row r="4" customFormat="false" ht="15" hidden="false" customHeight="false" outlineLevel="0" collapsed="false">
      <c r="A4" s="13" t="s">
        <v>195</v>
      </c>
      <c r="B4" s="12"/>
    </row>
    <row r="5" customFormat="false" ht="15" hidden="false" customHeight="false" outlineLevel="0" collapsed="false">
      <c r="A5" s="12" t="s">
        <v>196</v>
      </c>
      <c r="B5" s="12" t="n">
        <v>20</v>
      </c>
    </row>
    <row r="6" customFormat="false" ht="15" hidden="false" customHeight="false" outlineLevel="0" collapsed="false">
      <c r="A6" s="12" t="s">
        <v>197</v>
      </c>
      <c r="B6" s="12" t="n">
        <v>1</v>
      </c>
    </row>
    <row r="7" customFormat="false" ht="15" hidden="false" customHeight="false" outlineLevel="0" collapsed="false">
      <c r="A7" s="12" t="s">
        <v>198</v>
      </c>
      <c r="B7" s="12" t="n">
        <v>21</v>
      </c>
    </row>
    <row r="8" customFormat="false" ht="15" hidden="false" customHeight="false" outlineLevel="0" collapsed="false">
      <c r="A8" s="12"/>
      <c r="B8" s="12"/>
    </row>
    <row r="9" customFormat="false" ht="15" hidden="false" customHeight="false" outlineLevel="0" collapsed="false">
      <c r="A9" s="13" t="s">
        <v>199</v>
      </c>
      <c r="B9" s="12"/>
    </row>
    <row r="10" customFormat="false" ht="15" hidden="false" customHeight="false" outlineLevel="0" collapsed="false">
      <c r="A10" s="12" t="s">
        <v>200</v>
      </c>
      <c r="B10" s="12" t="n">
        <v>20</v>
      </c>
    </row>
    <row r="11" customFormat="false" ht="15" hidden="false" customHeight="false" outlineLevel="0" collapsed="false">
      <c r="A11" s="12" t="s">
        <v>201</v>
      </c>
      <c r="B11" s="12" t="n">
        <f aca="false">COUNTIF(Assessment!C:C,"Ja")</f>
        <v>20</v>
      </c>
    </row>
    <row r="12" customFormat="false" ht="15" hidden="false" customHeight="false" outlineLevel="0" collapsed="false">
      <c r="A12" s="12" t="s">
        <v>202</v>
      </c>
      <c r="B12" s="12" t="n">
        <f aca="false">COUNTIF(Assessment!C:C,"Nee")</f>
        <v>1</v>
      </c>
    </row>
    <row r="13" customFormat="false" ht="15" hidden="false" customHeight="false" outlineLevel="0" collapsed="false">
      <c r="A13" s="12"/>
      <c r="B13" s="12"/>
    </row>
    <row r="14" customFormat="false" ht="15" hidden="false" customHeight="false" outlineLevel="0" collapsed="false">
      <c r="A14" s="13" t="s">
        <v>203</v>
      </c>
      <c r="B14" s="12"/>
    </row>
    <row r="15" customFormat="false" ht="15" hidden="false" customHeight="false" outlineLevel="0" collapsed="false">
      <c r="A15" s="12" t="s">
        <v>204</v>
      </c>
      <c r="B15" s="12" t="n">
        <f aca="false">COUNTIF(Assessment!I:I,"Compliant")</f>
        <v>0</v>
      </c>
    </row>
    <row r="16" customFormat="false" ht="15" hidden="false" customHeight="false" outlineLevel="0" collapsed="false">
      <c r="A16" s="12" t="s">
        <v>205</v>
      </c>
      <c r="B16" s="12" t="n">
        <f aca="false">COUNTIF(Assessment!I:I,"Partial")</f>
        <v>0</v>
      </c>
    </row>
    <row r="17" customFormat="false" ht="15" hidden="false" customHeight="false" outlineLevel="0" collapsed="false">
      <c r="A17" s="12" t="s">
        <v>206</v>
      </c>
      <c r="B17" s="12" t="n">
        <f aca="false">COUNTIF(Assessment!I:I,"Non-Compliant")</f>
        <v>0</v>
      </c>
    </row>
    <row r="18" customFormat="false" ht="15" hidden="false" customHeight="false" outlineLevel="0" collapsed="false">
      <c r="A18" s="12" t="s">
        <v>207</v>
      </c>
      <c r="B18" s="12" t="n">
        <f aca="false">COUNTIF(Assessment!I:I,"N/A")</f>
        <v>0</v>
      </c>
    </row>
    <row r="19" customFormat="false" ht="15" hidden="false" customHeight="false" outlineLevel="0" collapsed="false">
      <c r="A19" s="12"/>
      <c r="B19" s="12"/>
    </row>
    <row r="20" customFormat="false" ht="15" hidden="false" customHeight="false" outlineLevel="0" collapsed="false">
      <c r="A20" s="13" t="s">
        <v>208</v>
      </c>
      <c r="B20" s="12"/>
    </row>
    <row r="21" customFormat="false" ht="15" hidden="false" customHeight="false" outlineLevel="0" collapsed="false">
      <c r="A21" s="12" t="s">
        <v>209</v>
      </c>
      <c r="B21" s="12" t="n">
        <f aca="false">COUNTIFS(Assessment!C:C,"Ja",Assessment!I:I,"Compliant")</f>
        <v>0</v>
      </c>
    </row>
    <row r="22" customFormat="false" ht="15" hidden="false" customHeight="false" outlineLevel="0" collapsed="false">
      <c r="A22" s="12" t="s">
        <v>210</v>
      </c>
      <c r="B22" s="12" t="n">
        <f aca="false">COUNTIFS(Assessment!C:C,"Ja",Assessment!I:I,"Partial")</f>
        <v>0</v>
      </c>
    </row>
    <row r="23" customFormat="false" ht="15" hidden="false" customHeight="false" outlineLevel="0" collapsed="false">
      <c r="A23" s="12" t="s">
        <v>211</v>
      </c>
      <c r="B23" s="12" t="n">
        <f aca="false">COUNTIFS(Assessment!C:C,"Ja",Assessment!I:I,"Non-Compliant")</f>
        <v>0</v>
      </c>
    </row>
    <row r="24" customFormat="false" ht="15" hidden="false" customHeight="false" outlineLevel="0" collapsed="false">
      <c r="A24" s="12" t="s">
        <v>212</v>
      </c>
      <c r="B24" s="12" t="n">
        <f aca="false">COUNTIFS(Assessment!C:C,"Ja",Assessment!I:I,"N/A")</f>
        <v>0</v>
      </c>
    </row>
    <row r="25" customFormat="false" ht="15" hidden="false" customHeight="false" outlineLevel="0" collapsed="false">
      <c r="A25" s="12"/>
      <c r="B25" s="12"/>
    </row>
    <row r="26" customFormat="false" ht="15" hidden="false" customHeight="false" outlineLevel="0" collapsed="false">
      <c r="A26" s="13" t="s">
        <v>213</v>
      </c>
      <c r="B26" s="12"/>
    </row>
    <row r="27" customFormat="false" ht="15" hidden="false" customHeight="false" outlineLevel="0" collapsed="false">
      <c r="A27" s="12" t="s">
        <v>214</v>
      </c>
      <c r="B27" s="14" t="n">
        <f aca="false">IF((B14+B15+B16)&gt;0,ROUND(B14/(B14+B15+B16)*100,1),0)</f>
        <v>0</v>
      </c>
    </row>
    <row r="28" customFormat="false" ht="15" hidden="false" customHeight="false" outlineLevel="0" collapsed="false">
      <c r="A28" s="12" t="s">
        <v>215</v>
      </c>
      <c r="B28" s="14" t="n">
        <f aca="false">IF((B20+B21+B22)&gt;0,ROUND(B20/(B20+B21+B22)*100,1),0)</f>
        <v>0</v>
      </c>
    </row>
    <row r="29" customFormat="false" ht="15" hidden="false" customHeight="false" outlineLevel="0" collapsed="false">
      <c r="A29" s="12"/>
      <c r="B29" s="12"/>
    </row>
    <row r="30" customFormat="false" ht="15" hidden="false" customHeight="false" outlineLevel="0" collapsed="false">
      <c r="A30" s="13" t="s">
        <v>216</v>
      </c>
      <c r="B30" s="12"/>
    </row>
    <row r="31" customFormat="false" ht="15" hidden="false" customHeight="false" outlineLevel="0" collapsed="false">
      <c r="A31" s="12" t="s">
        <v>217</v>
      </c>
      <c r="B31" s="12" t="s">
        <v>218</v>
      </c>
    </row>
    <row r="32" customFormat="false" ht="15" hidden="false" customHeight="false" outlineLevel="0" collapsed="false">
      <c r="A32" s="12" t="s">
        <v>219</v>
      </c>
      <c r="B32" s="12" t="s">
        <v>220</v>
      </c>
    </row>
    <row r="33" customFormat="false" ht="15" hidden="false" customHeight="false" outlineLevel="0" collapsed="false">
      <c r="A33" s="12" t="s">
        <v>221</v>
      </c>
      <c r="B33" s="12" t="s">
        <v>222</v>
      </c>
    </row>
    <row r="34" customFormat="false" ht="15" hidden="false" customHeight="false" outlineLevel="0" collapsed="false">
      <c r="A34" s="12" t="s">
        <v>223</v>
      </c>
      <c r="B34" s="12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5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5" t="s">
        <v>225</v>
      </c>
      <c r="B1" s="15"/>
      <c r="C1" s="15"/>
    </row>
    <row r="3" customFormat="false" ht="15" hidden="false" customHeight="false" outlineLevel="0" collapsed="false">
      <c r="A3" s="16" t="s">
        <v>226</v>
      </c>
    </row>
    <row r="5" customFormat="false" ht="15" hidden="false" customHeight="false" outlineLevel="0" collapsed="false">
      <c r="A5" s="0" t="s">
        <v>42</v>
      </c>
      <c r="B5" s="17"/>
    </row>
    <row r="6" customFormat="false" ht="15" hidden="false" customHeight="false" outlineLevel="0" collapsed="false">
      <c r="A6" s="0" t="s">
        <v>227</v>
      </c>
      <c r="B6" s="17" t="s">
        <v>228</v>
      </c>
    </row>
    <row r="7" customFormat="false" ht="15" hidden="false" customHeight="false" outlineLevel="0" collapsed="false">
      <c r="A7" s="0" t="s">
        <v>229</v>
      </c>
      <c r="B7" s="17" t="s">
        <v>230</v>
      </c>
    </row>
    <row r="8" customFormat="false" ht="15" hidden="false" customHeight="false" outlineLevel="0" collapsed="false">
      <c r="A8" s="0" t="s">
        <v>231</v>
      </c>
      <c r="B8" s="17" t="s">
        <v>232</v>
      </c>
    </row>
    <row r="9" customFormat="false" ht="15" hidden="false" customHeight="false" outlineLevel="0" collapsed="false">
      <c r="A9" s="0" t="s">
        <v>44</v>
      </c>
      <c r="B9" s="17"/>
    </row>
    <row r="11" customFormat="false" ht="15" hidden="false" customHeight="false" outlineLevel="0" collapsed="false">
      <c r="A11" s="2" t="s">
        <v>233</v>
      </c>
    </row>
    <row r="12" customFormat="false" ht="39.75" hidden="false" customHeight="true" outlineLevel="0" collapsed="false">
      <c r="A12" s="18" t="s">
        <v>234</v>
      </c>
      <c r="B12" s="18"/>
    </row>
    <row r="14" customFormat="false" ht="15" hidden="false" customHeight="false" outlineLevel="0" collapsed="false">
      <c r="A14" s="16" t="s">
        <v>235</v>
      </c>
    </row>
    <row r="15" customFormat="false" ht="15" hidden="false" customHeight="false" outlineLevel="0" collapsed="false">
      <c r="A15" s="0" t="s">
        <v>236</v>
      </c>
    </row>
    <row r="16" customFormat="false" ht="15" hidden="false" customHeight="false" outlineLevel="0" collapsed="false">
      <c r="A16" s="0" t="s">
        <v>237</v>
      </c>
    </row>
    <row r="17" customFormat="false" ht="15" hidden="false" customHeight="false" outlineLevel="0" collapsed="false">
      <c r="A17" s="0" t="s">
        <v>238</v>
      </c>
    </row>
    <row r="18" customFormat="false" ht="15" hidden="false" customHeight="false" outlineLevel="0" collapsed="false">
      <c r="A18" s="0" t="s">
        <v>239</v>
      </c>
    </row>
    <row r="19" customFormat="false" ht="15" hidden="false" customHeight="false" outlineLevel="0" collapsed="false">
      <c r="A19" s="0" t="s">
        <v>240</v>
      </c>
    </row>
    <row r="20" customFormat="false" ht="15" hidden="false" customHeight="false" outlineLevel="0" collapsed="false">
      <c r="A20" s="0" t="s">
        <v>241</v>
      </c>
    </row>
    <row r="21" customFormat="false" ht="15" hidden="false" customHeight="false" outlineLevel="0" collapsed="false">
      <c r="A21" s="0" t="s">
        <v>242</v>
      </c>
    </row>
    <row r="23" customFormat="false" ht="15" hidden="false" customHeight="false" outlineLevel="0" collapsed="false">
      <c r="A23" s="19" t="s">
        <v>243</v>
      </c>
    </row>
    <row r="25" customFormat="false" ht="15" hidden="false" customHeight="false" outlineLevel="0" collapsed="false">
      <c r="A25" s="16" t="s">
        <v>244</v>
      </c>
    </row>
    <row r="26" customFormat="false" ht="15" hidden="false" customHeight="false" outlineLevel="0" collapsed="false">
      <c r="A26" s="0" t="s">
        <v>245</v>
      </c>
    </row>
    <row r="28" customFormat="false" ht="15" hidden="false" customHeight="false" outlineLevel="0" collapsed="false">
      <c r="A28" s="16" t="s">
        <v>246</v>
      </c>
    </row>
    <row r="29" customFormat="false" ht="15" hidden="false" customHeight="false" outlineLevel="0" collapsed="false">
      <c r="A29" s="0" t="s">
        <v>247</v>
      </c>
    </row>
    <row r="30" customFormat="false" ht="15" hidden="false" customHeight="false" outlineLevel="0" collapsed="false">
      <c r="A30" s="0" t="s">
        <v>248</v>
      </c>
    </row>
    <row r="31" customFormat="false" ht="15" hidden="false" customHeight="false" outlineLevel="0" collapsed="false">
      <c r="A31" s="0" t="s">
        <v>249</v>
      </c>
    </row>
    <row r="32" customFormat="false" ht="15" hidden="false" customHeight="false" outlineLevel="0" collapsed="false">
      <c r="A32" s="0" t="s">
        <v>250</v>
      </c>
    </row>
    <row r="33" customFormat="false" ht="15" hidden="false" customHeight="false" outlineLevel="0" collapsed="false">
      <c r="A33" s="0" t="str">
        <f aca="false">CONCATENATE("assessment_date: """,B8,"""")</f>
        <v>assessment_date: "2026-02-11"</v>
      </c>
    </row>
    <row r="34" customFormat="false" ht="15" hidden="false" customHeight="false" outlineLevel="0" collapsed="false">
      <c r="A34" s="0" t="str">
        <f aca="true">CONCATENATE("export_timestamp: """,TEXT(NOW(),"YYYY-MM-DD HH:MM:SS"),"""")</f>
        <v>export_timestamp: "2026-02-11 10:46:40"</v>
      </c>
    </row>
    <row r="35" customFormat="false" ht="15" hidden="false" customHeight="false" outlineLevel="0" collapsed="false">
      <c r="A35" s="0" t="str">
        <f aca="false">CONCATENATE("assessor: """,B5,"""")</f>
        <v>assessor: ""</v>
      </c>
    </row>
    <row r="36" customFormat="false" ht="15" hidden="false" customHeight="false" outlineLevel="0" collapsed="false">
      <c r="A36" s="0" t="str">
        <f aca="false">CONCATENATE("system: """,B6,"""")</f>
        <v>system: "XENA-ZGW"</v>
      </c>
    </row>
    <row r="37" customFormat="false" ht="15" hidden="false" customHeight="false" outlineLevel="0" collapsed="false">
      <c r="A37" s="0" t="str">
        <f aca="false">CONCATENATE("environment: """,B7,"""")</f>
        <v>environment: "Productie"</v>
      </c>
    </row>
    <row r="38" customFormat="false" ht="15" hidden="false" customHeight="false" outlineLevel="0" collapsed="false">
      <c r="A38" s="0" t="str">
        <f aca="false">CONCATENATE("approved_by: """,B9,"""")</f>
        <v>approved_by: ""</v>
      </c>
    </row>
    <row r="40" customFormat="false" ht="15" hidden="false" customHeight="false" outlineLevel="0" collapsed="false">
      <c r="A40" s="0" t="s">
        <v>251</v>
      </c>
    </row>
    <row r="41" customFormat="false" ht="15" hidden="false" customHeight="false" outlineLevel="0" collapsed="false">
      <c r="A41" s="0" t="str">
        <f aca="false">CONCATENATE("total_score: ",'Summary Dashboard'!B27)</f>
        <v>total_score: 0</v>
      </c>
    </row>
    <row r="42" customFormat="false" ht="15" hidden="false" customHeight="false" outlineLevel="0" collapsed="false">
      <c r="A42" s="0" t="str">
        <f aca="false">CONCATENATE("baseline_score: ",'Summary Dashboard'!B28)</f>
        <v>baseline_score: 0</v>
      </c>
    </row>
    <row r="44" customFormat="false" ht="15" hidden="false" customHeight="false" outlineLevel="0" collapsed="false">
      <c r="A44" s="0" t="s">
        <v>252</v>
      </c>
    </row>
    <row r="45" customFormat="false" ht="15" hidden="false" customHeight="false" outlineLevel="0" collapsed="false">
      <c r="A45" s="0" t="str">
        <f aca="false">CONCATENATE("total_measures: ",'Summary Dashboard'!B6)</f>
        <v>total_measures: 1</v>
      </c>
    </row>
    <row r="46" customFormat="false" ht="15" hidden="false" customHeight="false" outlineLevel="0" collapsed="false">
      <c r="A46" s="0" t="str">
        <f aca="false">CONCATENATE("baseline_measures: ",'Summary Dashboard'!B10)</f>
        <v>baseline_measures: 20</v>
      </c>
    </row>
    <row r="48" customFormat="false" ht="15" hidden="false" customHeight="false" outlineLevel="0" collapsed="false">
      <c r="A48" s="0" t="str">
        <f aca="false">CONCATENATE("compliant: ",'Summary Dashboard'!B14)</f>
        <v>compliant: </v>
      </c>
    </row>
    <row r="49" customFormat="false" ht="15" hidden="false" customHeight="false" outlineLevel="0" collapsed="false">
      <c r="A49" s="0" t="str">
        <f aca="false">CONCATENATE("partial: ",'Summary Dashboard'!B15)</f>
        <v>partial: 0</v>
      </c>
    </row>
    <row r="50" customFormat="false" ht="15" hidden="false" customHeight="false" outlineLevel="0" collapsed="false">
      <c r="A50" s="0" t="str">
        <f aca="false">CONCATENATE("non_compliant: ",'Summary Dashboard'!B16)</f>
        <v>non_compliant: 0</v>
      </c>
    </row>
    <row r="51" customFormat="false" ht="15" hidden="false" customHeight="false" outlineLevel="0" collapsed="false">
      <c r="A51" s="0" t="str">
        <f aca="false">CONCATENATE("na: ",'Summary Dashboard'!B17)</f>
        <v>na: 0</v>
      </c>
    </row>
    <row r="53" customFormat="false" ht="15" hidden="false" customHeight="false" outlineLevel="0" collapsed="false">
      <c r="A53" s="0" t="str">
        <f aca="false">CONCATENATE("baseline_compliant: ",'Summary Dashboard'!B20)</f>
        <v>baseline_compliant: </v>
      </c>
    </row>
    <row r="54" customFormat="false" ht="15" hidden="false" customHeight="false" outlineLevel="0" collapsed="false">
      <c r="A54" s="0" t="str">
        <f aca="false">CONCATENATE("baseline_partial: ",'Summary Dashboard'!B21)</f>
        <v>baseline_partial: 0</v>
      </c>
    </row>
    <row r="55" customFormat="false" ht="15" hidden="false" customHeight="false" outlineLevel="0" collapsed="false">
      <c r="A55" s="0" t="str">
        <f aca="false">CONCATENATE("baseline_non_compliant: ",'Summary Dashboard'!B22)</f>
        <v>baseline_non_compliant: 0</v>
      </c>
    </row>
    <row r="56" customFormat="false" ht="15" hidden="false" customHeight="false" outlineLevel="0" collapsed="false">
      <c r="A56" s="0" t="str">
        <f aca="false">CONCATENATE("baseline_na: ",'Summary Dashboard'!B23)</f>
        <v>baseline_na: 0</v>
      </c>
    </row>
    <row r="57" customFormat="false" ht="15" hidden="false" customHeight="false" outlineLevel="0" collapsed="false">
      <c r="A57" s="0" t="s">
        <v>247</v>
      </c>
    </row>
    <row r="59" customFormat="false" ht="15" hidden="false" customHeight="false" outlineLevel="0" collapsed="false">
      <c r="A59" s="0" t="s">
        <v>253</v>
      </c>
    </row>
    <row r="61" customFormat="false" ht="15" hidden="false" customHeight="false" outlineLevel="0" collapsed="false">
      <c r="A61" s="0" t="str">
        <f aca="true">CONCATENATE("&gt; Geëxporteerd op ",TEXT(NOW(),"YYYY-MM-DD HH:MM:SS"))</f>
        <v>&gt; Geëxporteerd op 2026-02-11 10:46:40</v>
      </c>
    </row>
    <row r="63" customFormat="false" ht="15" hidden="false" customHeight="false" outlineLevel="0" collapsed="false">
      <c r="A63" s="0" t="s">
        <v>254</v>
      </c>
    </row>
    <row r="65" customFormat="false" ht="15" hidden="false" customHeight="false" outlineLevel="0" collapsed="false">
      <c r="A65" s="0" t="s">
        <v>255</v>
      </c>
    </row>
    <row r="66" customFormat="false" ht="15" hidden="false" customHeight="false" outlineLevel="0" collapsed="false">
      <c r="A66" s="0" t="s">
        <v>256</v>
      </c>
    </row>
    <row r="67" customFormat="false" ht="15" hidden="false" customHeight="false" outlineLevel="0" collapsed="false">
      <c r="A67" s="0" t="str">
        <f aca="false">CONCATENATE("| Baseline Score | ",'Summary Dashboard'!B28,"% |")</f>
        <v>| Baseline Score | 0% |</v>
      </c>
    </row>
    <row r="68" customFormat="false" ht="15" hidden="false" customHeight="false" outlineLevel="0" collapsed="false">
      <c r="A68" s="0" t="str">
        <f aca="false">CONCATENATE("| Totaal Score | ",'Summary Dashboard'!B27,"% |")</f>
        <v>| Totaal Score | 0% |</v>
      </c>
    </row>
    <row r="70" customFormat="false" ht="15" hidden="false" customHeight="false" outlineLevel="0" collapsed="false">
      <c r="A70" s="20" t="s">
        <v>257</v>
      </c>
    </row>
  </sheetData>
  <mergeCells count="2">
    <mergeCell ref="A1:C1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2026-02-11T10:46:34Z</dcterms:created>
  <dc:creator>openpyxl</dc:creator>
  <dc:description/>
  <dc:language>en-US</dc:language>
  <cp:lastModifiedBy/>
  <dcterms:modified xsi:type="dcterms:W3CDTF">2026-02-11T10:46:34Z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