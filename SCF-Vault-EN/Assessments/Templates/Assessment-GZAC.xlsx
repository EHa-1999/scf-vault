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ummary Dashboard" sheetId="3" state="visible" r:id="rId5"/>
    <sheet name="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<sst xmlns="http://schemas.openxmlformats.org/spreadsheetml/2006/main" count="285" uniqueCount="245">
  <si>
    <t xml:space="preserve">SECURITY SELF-ASSESSMENT: GZAC</t>
  </si>
  <si>
    <t xml:space="preserve">Benchmark: EXT-BM-GZAC v1.0</t>
  </si>
  <si>
    <t xml:space="preserve">Versie: 11.x+</t>
  </si>
  <si>
    <t xml:space="preserve">Bron: docs.gzac.nl + Camunda Security</t>
  </si>
  <si>
    <t xml:space="preserve">GZAC (Valtimo) is een BPM platform voor Zaakgericht Werken, gebaseerd op Camunda en KeyCloak.</t>
  </si>
  <si>
    <t xml:space="preserve">INSTRUCTIES</t>
  </si>
  <si>
    <t xml:space="preserve">1. Ga naar het tabblad 'Assessment'</t>
  </si>
  <si>
    <t xml:space="preserve">2. Review elke maatregel en de beschrijving</t>
  </si>
  <si>
    <t xml:space="preserve">3. Controleer de BASELINE kolom - deze is vooraf ingevuld maar aanpasbaar</t>
  </si>
  <si>
    <t xml:space="preserve">4. Voer de Audit Procedure uit om de huidige status te bepalen</t>
  </si>
  <si>
    <t xml:space="preserve">5. Vul de STATUS in via de dropdown:</t>
  </si>
  <si>
    <t xml:space="preserve">   • Compliant: Volledig geïmplementeerd en geverifieerd</t>
  </si>
  <si>
    <t xml:space="preserve">   • Partial: Gedeeltelijk geïmplementeerd</t>
  </si>
  <si>
    <t xml:space="preserve">   • Non-Compliant: Niet geïmplementeerd</t>
  </si>
  <si>
    <t xml:space="preserve">   • N/A: Niet van toepassing op deze omgeving</t>
  </si>
  <si>
    <t xml:space="preserve">6. Documenteer EVIDENCE (bestandslocatie, screenshot, ticket)</t>
  </si>
  <si>
    <t xml:space="preserve">7. Voeg relevante OPMERKINGEN toe</t>
  </si>
  <si>
    <t xml:space="preserve">8. Wijs een VERANTWOORDELIJKE toe</t>
  </si>
  <si>
    <t xml:space="preserve">9. Het Summary Dashboard toont zowel totaal- als baseline-compliance</t>
  </si>
  <si>
    <t xml:space="preserve">10. Gebruik de EXPORT knop om resultaten naar de Vault te exporteren</t>
  </si>
  <si>
    <t xml:space="preserve">LEVELS (CIS Benchmark Standaard)</t>
  </si>
  <si>
    <t xml:space="preserve">L1 = Level 1 - Basis beveiliging, minimale impact op functionaliteit</t>
  </si>
  <si>
    <t xml:space="preserve">L2 = Level 2 - Verhoogde beveiliging, kan functionaliteit beperken</t>
  </si>
  <si>
    <t xml:space="preserve">BASELINE SYSTEMATIEK</t>
  </si>
  <si>
    <t xml:space="preserve">De Baseline is berekend op basis van:</t>
  </si>
  <si>
    <t xml:space="preserve">• Level van de maatregel (L1 of L2)</t>
  </si>
  <si>
    <t xml:space="preserve">• Baseline status van de gekoppelde CIS Control(s)</t>
  </si>
  <si>
    <t xml:space="preserve">Baseline = Ja alleen als:</t>
  </si>
  <si>
    <t xml:space="preserve">  1. Level = L1 (basis), EN</t>
  </si>
  <si>
    <t xml:space="preserve">  2. Minstens één gekoppelde CIS Control is baseline</t>
  </si>
  <si>
    <t xml:space="preserve">De Baseline kolom is aanpasbaar per organisatie:</t>
  </si>
  <si>
    <t xml:space="preserve">• L2 → Baseline Ja: Verhogen indien risicoprofiel dit vereist</t>
  </si>
  <si>
    <t xml:space="preserve">• L1 → Baseline Nee: Alleen met risicoanalyse en compenserende maatregelen</t>
  </si>
  <si>
    <t xml:space="preserve">EXPORT NAAR VAULT</t>
  </si>
  <si>
    <t xml:space="preserve">Na het invullen van de assessment:</t>
  </si>
  <si>
    <t xml:space="preserve">1. Ga naar het tabblad 'Export'</t>
  </si>
  <si>
    <t xml:space="preserve">2. Vul de metadata in (assessor, systeem, omgeving)</t>
  </si>
  <si>
    <t xml:space="preserve">3. Klik op de 'Exporteer naar Vault' knop</t>
  </si>
  <si>
    <t xml:space="preserve">4. Kies een locatie in de Assessments/Results/ folder</t>
  </si>
  <si>
    <t xml:space="preserve">5. Het gegenereerde .md bestand is direct bruikbaar in Obsidian</t>
  </si>
  <si>
    <t xml:space="preserve">ASSESSMENT INFORMATIE</t>
  </si>
  <si>
    <t xml:space="preserve">Datum assessment:</t>
  </si>
  <si>
    <t xml:space="preserve">Assessor:</t>
  </si>
  <si>
    <t xml:space="preserve">Systeem/Omgeving:</t>
  </si>
  <si>
    <t xml:space="preserve">Goedgekeurd door:</t>
  </si>
  <si>
    <t xml:space="preserve">Goedkeuringsdatum:</t>
  </si>
  <si>
    <t xml:space="preserve">ID</t>
  </si>
  <si>
    <t xml:space="preserve">Level</t>
  </si>
  <si>
    <t xml:space="preserve">Baseline</t>
  </si>
  <si>
    <t xml:space="preserve">CIS Controls</t>
  </si>
  <si>
    <t xml:space="preserve">Control Title</t>
  </si>
  <si>
    <t xml:space="preserve">Control Description</t>
  </si>
  <si>
    <t xml:space="preserve">Audit Procedure</t>
  </si>
  <si>
    <t xml:space="preserve">Expected Config</t>
  </si>
  <si>
    <t xml:space="preserve">Status</t>
  </si>
  <si>
    <t xml:space="preserve">Evidence Location</t>
  </si>
  <si>
    <t xml:space="preserve">Comments</t>
  </si>
  <si>
    <t xml:space="preserve">Responsible Party</t>
  </si>
  <si>
    <t xml:space="preserve">1. Authentication (KeyCloak)</t>
  </si>
  <si>
    <t xml:space="preserve">GZ-1.1</t>
  </si>
  <si>
    <t xml:space="preserve">L1</t>
  </si>
  <si>
    <t xml:space="preserve">Ja</t>
  </si>
  <si>
    <t xml:space="preserve">CIS-5.6, CIS-6.1</t>
  </si>
  <si>
    <t xml:space="preserve">KeyCloak integratie actief</t>
  </si>
  <si>
    <t xml:space="preserve">GZAC is geconfigureerd met KeyCloak als identity provider via OIDC.</t>
  </si>
  <si>
    <t xml:space="preserve">grep -A 10 "keycloak:" application.yml
curl https://gzac/.well-known/openid-configuration</t>
  </si>
  <si>
    <t xml:space="preserve">OIDC config aanwezig</t>
  </si>
  <si>
    <t xml:space="preserve">GZ-1.2</t>
  </si>
  <si>
    <t xml:space="preserve">CIS-6.1</t>
  </si>
  <si>
    <t xml:space="preserve">JWT token validatie</t>
  </si>
  <si>
    <t xml:space="preserve">JWT tokens worden correct gevalideerd op signature, expiry en issuer.</t>
  </si>
  <si>
    <t xml:space="preserve">Test with invalid token (should fail)</t>
  </si>
  <si>
    <t xml:space="preserve">401 response</t>
  </si>
  <si>
    <t xml:space="preserve">GZ-1.3</t>
  </si>
  <si>
    <t xml:space="preserve">CIS-6.2</t>
  </si>
  <si>
    <t xml:space="preserve">Token expiry geconfigureerd</t>
  </si>
  <si>
    <t xml:space="preserve">Access tokens hebben een korte levensduur (aanbevolen: 5-15 minuten).</t>
  </si>
  <si>
    <t xml:space="preserve">KeyCloak admin: Realm Settings → Tokens → Access Token Lifespan</t>
  </si>
  <si>
    <t xml:space="preserve">5-15 minuten</t>
  </si>
  <si>
    <t xml:space="preserve">GZ-1.4</t>
  </si>
  <si>
    <t xml:space="preserve">L2</t>
  </si>
  <si>
    <t xml:space="preserve">Nee</t>
  </si>
  <si>
    <t xml:space="preserve">Refresh token rotation</t>
  </si>
  <si>
    <t xml:space="preserve">Refresh token rotation is ingeschakeld voor extra beveiliging.</t>
  </si>
  <si>
    <t xml:space="preserve">KeyCloak admin: Realm Settings → Tokens → Refresh Token</t>
  </si>
  <si>
    <t xml:space="preserve">Rotation enabled</t>
  </si>
  <si>
    <t xml:space="preserve">2. Authorization</t>
  </si>
  <si>
    <t xml:space="preserve">GZ-2.1</t>
  </si>
  <si>
    <t xml:space="preserve">CIS-6.8</t>
  </si>
  <si>
    <t xml:space="preserve">Role-based access control</t>
  </si>
  <si>
    <t xml:space="preserve">RBAC is geconfigureerd met specifieke rollen voor verschillende functies.</t>
  </si>
  <si>
    <t xml:space="preserve">KeyCloak: check Realm Roles en Client Roles</t>
  </si>
  <si>
    <t xml:space="preserve">Rollen gedefinieerd</t>
  </si>
  <si>
    <t xml:space="preserve">GZ-2.2</t>
  </si>
  <si>
    <t xml:space="preserve">CIS-6.6, CIS-6.8</t>
  </si>
  <si>
    <t xml:space="preserve">Case-level permissions</t>
  </si>
  <si>
    <t xml:space="preserve">Toegang tot zaken is beperkt op basis van zaaktype en rol.</t>
  </si>
  <si>
    <t xml:space="preserve">Test access with different roles</t>
  </si>
  <si>
    <t xml:space="preserve">Role-based filtering</t>
  </si>
  <si>
    <t xml:space="preserve">GZ-2.3</t>
  </si>
  <si>
    <t xml:space="preserve">CIS-6.6</t>
  </si>
  <si>
    <t xml:space="preserve">Task assignment security</t>
  </si>
  <si>
    <t xml:space="preserve">Taken kunnen alleen worden geclaimd en afgerond door geautoriseerde gebruikers.</t>
  </si>
  <si>
    <t xml:space="preserve">Test task claim/complete with unauthorized user</t>
  </si>
  <si>
    <t xml:space="preserve">403 bij unauthorized</t>
  </si>
  <si>
    <t xml:space="preserve">3. Process Security (Camunda)</t>
  </si>
  <si>
    <t xml:space="preserve">GZ-3.1</t>
  </si>
  <si>
    <t xml:space="preserve">CIS-5.4, CIS-16.1</t>
  </si>
  <si>
    <t xml:space="preserve">Process deployment beperkt</t>
  </si>
  <si>
    <t xml:space="preserve">Alleen beheerders kunnen processdefinities deployen.</t>
  </si>
  <si>
    <t xml:space="preserve">Check deployment permissions in configuration</t>
  </si>
  <si>
    <t xml:space="preserve">Deployment restricted</t>
  </si>
  <si>
    <t xml:space="preserve">GZ-3.2</t>
  </si>
  <si>
    <t xml:space="preserve">CIS-16.10, CIS-4.1</t>
  </si>
  <si>
    <t xml:space="preserve">Script task security</t>
  </si>
  <si>
    <t xml:space="preserve">Script tasks (Groovy/JavaScript) zijn beperkt of uitgeschakeld, of draaien in sandbox.</t>
  </si>
  <si>
    <t xml:space="preserve">Review process definitions for script tasks</t>
  </si>
  <si>
    <t xml:space="preserve">Scripts in sandbox of beperkt</t>
  </si>
  <si>
    <t xml:space="preserve">GZ-3.3</t>
  </si>
  <si>
    <t xml:space="preserve">External task handler auth</t>
  </si>
  <si>
    <t xml:space="preserve">External task handlers authenticeren zich bij het claimen van taken.</t>
  </si>
  <si>
    <t xml:space="preserve">Check external task worker configuration</t>
  </si>
  <si>
    <t xml:space="preserve">Worker auth required</t>
  </si>
  <si>
    <t xml:space="preserve">4. API Security</t>
  </si>
  <si>
    <t xml:space="preserve">GZ-4.1</t>
  </si>
  <si>
    <t xml:space="preserve">CIS-6.1, CIS-6.3</t>
  </si>
  <si>
    <t xml:space="preserve">API authenticatie verplicht</t>
  </si>
  <si>
    <t xml:space="preserve">Alle API endpoints vereisen authenticatie.</t>
  </si>
  <si>
    <t xml:space="preserve">curl -I https://gzac/api/v1/case (should return 401)</t>
  </si>
  <si>
    <t xml:space="preserve">GZ-4.2</t>
  </si>
  <si>
    <t xml:space="preserve">CIS-3.10</t>
  </si>
  <si>
    <t xml:space="preserve">HTTPS verplicht</t>
  </si>
  <si>
    <t xml:space="preserve">Alleen HTTPS is toegestaan, HTTP wordt geredirect of geblokkeerd.</t>
  </si>
  <si>
    <t xml:space="preserve">curl -I http://gzac (should redirect or fail)</t>
  </si>
  <si>
    <t xml:space="preserve">Redirect of block</t>
  </si>
  <si>
    <t xml:space="preserve">GZ-4.3</t>
  </si>
  <si>
    <t xml:space="preserve">CIS-4.2, CIS-16.10</t>
  </si>
  <si>
    <t xml:space="preserve">CORS restrictief</t>
  </si>
  <si>
    <t xml:space="preserve">CORS is restrictief geconfigureerd voor alleen toegestane origins.</t>
  </si>
  <si>
    <t xml:space="preserve">grep "cors" application.yml</t>
  </si>
  <si>
    <t xml:space="preserve">Specifieke origins</t>
  </si>
  <si>
    <t xml:space="preserve">5. Integration Security</t>
  </si>
  <si>
    <t xml:space="preserve">GZ-5.1</t>
  </si>
  <si>
    <t xml:space="preserve">CIS-3.10, CIS-6.1</t>
  </si>
  <si>
    <t xml:space="preserve">OpenZaak integratie beveiligd</t>
  </si>
  <si>
    <t xml:space="preserve">Communicatie met OpenZaak gebruikt JWT tokens en HTTPS.</t>
  </si>
  <si>
    <t xml:space="preserve">Check OpenZaak connector configuration</t>
  </si>
  <si>
    <t xml:space="preserve">JWT + HTTPS</t>
  </si>
  <si>
    <t xml:space="preserve">GZ-5.2</t>
  </si>
  <si>
    <t xml:space="preserve">CIS-3.11, CIS-4.1</t>
  </si>
  <si>
    <t xml:space="preserve">Secrets management</t>
  </si>
  <si>
    <t xml:space="preserve">API keys en credentials worden opgeslagen in secrets (K8s secrets, vault), niet in config files.</t>
  </si>
  <si>
    <t xml:space="preserve">grep -r "password\|secret\|apiKey" application*.yml</t>
  </si>
  <si>
    <t xml:space="preserve">Geen hardcoded secrets</t>
  </si>
  <si>
    <t xml:space="preserve">GZ-5.3</t>
  </si>
  <si>
    <t xml:space="preserve">CIS-16.4, CIS-16.12</t>
  </si>
  <si>
    <t xml:space="preserve">Plugin security review</t>
  </si>
  <si>
    <t xml:space="preserve">Custom plugins zijn gereviewd op security risicos voordat ze worden gedeployed.</t>
  </si>
  <si>
    <t xml:space="preserve">Review plugin deployment process</t>
  </si>
  <si>
    <t xml:space="preserve">Review process aanwezig</t>
  </si>
  <si>
    <t xml:space="preserve">6. Logging &amp; Audit</t>
  </si>
  <si>
    <t xml:space="preserve">GZ-6.1</t>
  </si>
  <si>
    <t xml:space="preserve">CIS-8.2, CIS-8.1</t>
  </si>
  <si>
    <t xml:space="preserve">Audit logging enabled</t>
  </si>
  <si>
    <t xml:space="preserve">Audit logging is ingeschakeld voor alle zaak- en taakacties.</t>
  </si>
  <si>
    <t xml:space="preserve">Check logging configuration</t>
  </si>
  <si>
    <t xml:space="preserve">Audit logging on</t>
  </si>
  <si>
    <t xml:space="preserve">GZ-6.2</t>
  </si>
  <si>
    <t xml:space="preserve">CIS-8.10</t>
  </si>
  <si>
    <t xml:space="preserve">Process history retention</t>
  </si>
  <si>
    <t xml:space="preserve">Process history wordt bewaard voor audit doeleinden (conform archiefwet).</t>
  </si>
  <si>
    <t xml:space="preserve">Check Camunda history configuration</t>
  </si>
  <si>
    <t xml:space="preserve">History retention configured</t>
  </si>
  <si>
    <t xml:space="preserve">GZ-6.3</t>
  </si>
  <si>
    <t xml:space="preserve">CIS-8.2, CIS-8.5</t>
  </si>
  <si>
    <t xml:space="preserve">Security event logging</t>
  </si>
  <si>
    <t xml:space="preserve">Security events (login failures, permission denied) worden gelogd.</t>
  </si>
  <si>
    <t xml:space="preserve">Review security log samples</t>
  </si>
  <si>
    <t xml:space="preserve">Security events logged</t>
  </si>
  <si>
    <t xml:space="preserve">Metric</t>
  </si>
  <si>
    <t xml:space="preserve">Value</t>
  </si>
  <si>
    <t xml:space="preserve">Assessment: GZAC</t>
  </si>
  <si>
    <t xml:space="preserve">OVERZICHT</t>
  </si>
  <si>
    <t xml:space="preserve">Totaal L1 Maatregelen</t>
  </si>
  <si>
    <t xml:space="preserve">Totaal L2 Maatregelen</t>
  </si>
  <si>
    <t xml:space="preserve">Totaal Maatregelen</t>
  </si>
  <si>
    <t xml:space="preserve">BASELINE ANALYSE</t>
  </si>
  <si>
    <t xml:space="preserve">Baseline maatregelen (berekend)</t>
  </si>
  <si>
    <t xml:space="preserve">Baseline maatregelen (huidig)</t>
  </si>
  <si>
    <t xml:space="preserve">Niet-baseline maatregelen</t>
  </si>
  <si>
    <t xml:space="preserve">STATUS TELLING (alle maatregelen)</t>
  </si>
  <si>
    <t xml:space="preserve">Compliant</t>
  </si>
  <si>
    <t xml:space="preserve">Partial</t>
  </si>
  <si>
    <t xml:space="preserve">Non-Compliant</t>
  </si>
  <si>
    <t xml:space="preserve">N/A</t>
  </si>
  <si>
    <t xml:space="preserve">BASELINE STATUS (alleen baseline=Ja)</t>
  </si>
  <si>
    <t xml:space="preserve">Baseline Compliant</t>
  </si>
  <si>
    <t xml:space="preserve">Baseline Partial</t>
  </si>
  <si>
    <t xml:space="preserve">Baseline Non-Compliant</t>
  </si>
  <si>
    <t xml:space="preserve">Baseline N/A</t>
  </si>
  <si>
    <t xml:space="preserve">COMPLIANCE SCORES</t>
  </si>
  <si>
    <t xml:space="preserve">Totaal Score % (excl. N/A)</t>
  </si>
  <si>
    <t xml:space="preserve">Baseline Score % (excl. N/A)</t>
  </si>
  <si>
    <t xml:space="preserve">SCORE INTERPRETATIE</t>
  </si>
  <si>
    <t xml:space="preserve">90-100%: Uitstekend</t>
  </si>
  <si>
    <t xml:space="preserve">Onderhoud huidige status</t>
  </si>
  <si>
    <t xml:space="preserve">75-89%: Goed</t>
  </si>
  <si>
    <t xml:space="preserve">Plan verbeteringen</t>
  </si>
  <si>
    <t xml:space="preserve">50-74%: Matig</t>
  </si>
  <si>
    <t xml:space="preserve">Actie vereist binnen 3 maanden</t>
  </si>
  <si>
    <t xml:space="preserve">0-49%: Onvoldoende</t>
  </si>
  <si>
    <t xml:space="preserve">Urgente actie vereist</t>
  </si>
  <si>
    <t xml:space="preserve">EXPORTEER ASSESSMENT RESULTATEN NAAR VAULT</t>
  </si>
  <si>
    <t xml:space="preserve">Vul onderstaande gegevens in:</t>
  </si>
  <si>
    <t xml:space="preserve">Systeem:</t>
  </si>
  <si>
    <t xml:space="preserve">XENA-ZGW</t>
  </si>
  <si>
    <t xml:space="preserve">Omgeving:</t>
  </si>
  <si>
    <t xml:space="preserve">Productie</t>
  </si>
  <si>
    <t xml:space="preserve">Assessment Datum:</t>
  </si>
  <si>
    <t xml:space="preserve">2026-02-11</t>
  </si>
  <si>
    <t xml:space="preserve">EXPORT KNOP</t>
  </si>
  <si>
    <t xml:space="preserve">[ Exporteer naar Vault ]</t>
  </si>
  <si>
    <t xml:space="preserve">MACRO INSTALLATIE (eenmalig)</t>
  </si>
  <si>
    <t xml:space="preserve">1. Open dit bestand in Excel</t>
  </si>
  <si>
    <t xml:space="preserve">2. Druk Alt+F11 om de VBA Editor te openen</t>
  </si>
  <si>
    <t xml:space="preserve">3. Ga naar File &gt; Import File</t>
  </si>
  <si>
    <t xml:space="preserve">4. Selecteer: SCF_Export_Module.bas (zelfde map als dit bestand)</t>
  </si>
  <si>
    <t xml:space="preserve">5. Sluit de VBA Editor (Alt+Q)</t>
  </si>
  <si>
    <t xml:space="preserve">6. In Excel: druk Alt+F8, selecteer 'CreateExportButton', klik Run</t>
  </si>
  <si>
    <t xml:space="preserve">7. Sla het bestand op als .xlsm (Excel Macro-Enabled Workbook)</t>
  </si>
  <si>
    <t xml:space="preserve">Na installatie: klik op de knop hierboven om te exporteren.</t>
  </si>
  <si>
    <t xml:space="preserve">HANDMATIGE EXPORT (zonder macro)</t>
  </si>
  <si>
    <t xml:space="preserve">Als macro's niet mogelijk zijn, kopieer de gegenereerde Markdown hieronder:</t>
  </si>
  <si>
    <t xml:space="preserve">MARKDOWN OUTPUT:</t>
  </si>
  <si>
    <t xml:space="preserve">---</t>
  </si>
  <si>
    <t xml:space="preserve">type: assessment-result</t>
  </si>
  <si>
    <t xml:space="preserve">component: GZAC</t>
  </si>
  <si>
    <t xml:space="preserve">benchmark: EXT-BM-GZAC-v1.0</t>
  </si>
  <si>
    <t xml:space="preserve"># Scores</t>
  </si>
  <si>
    <t xml:space="preserve"># Tellingen</t>
  </si>
  <si>
    <t xml:space="preserve"># Assessment Result: GZAC</t>
  </si>
  <si>
    <t xml:space="preserve">## Samenvatting</t>
  </si>
  <si>
    <t xml:space="preserve">| Metric | Waarde |</t>
  </si>
  <si>
    <t xml:space="preserve">|--------|--------|</t>
  </si>
  <si>
    <t xml:space="preserve">TIP: Met macro geïnstalleerd wordt ook Non-Compliant en Partial items automatisch toegevoegd.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</si>
</sst>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CC4E00"/>
        <bgColor rgb="FF993300"/>
      </patternFill>
    </fill>
    <fill>
      <patternFill patternType="solid">
        <fgColor rgb="FFD9E2F3"/>
        <bgColor rgb="FFE8F4E8"/>
      </patternFill>
    </fill>
    <fill>
      <patternFill patternType="solid">
        <fgColor rgb="FFE8F4E8"/>
        <bgColor rgb="FFFFF3E0"/>
      </patternFill>
    </fill>
    <fill>
      <patternFill patternType="solid">
        <fgColor rgb="FFFFF3E0"/>
        <bgColor rgb="FFFFFFCC"/>
      </patternFill>
    </fill>
    <fill>
      <patternFill patternType="solid">
        <fgColor rgb="FFFFFFC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C4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9" customFormat="false" ht="15" hidden="false" customHeight="false" outlineLevel="0" collapsed="false">
      <c r="A39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0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8" customFormat="false" ht="15" hidden="false" customHeight="false" outlineLevel="0" collapsed="false">
      <c r="A48" s="0" t="s">
        <v>38</v>
      </c>
    </row>
    <row r="49" customFormat="false" ht="15" hidden="false" customHeight="false" outlineLevel="0" collapsed="false">
      <c r="A49" s="0" t="s">
        <v>39</v>
      </c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0" t="s">
        <v>41</v>
      </c>
    </row>
    <row r="53" customFormat="false" ht="15" hidden="false" customHeight="false" outlineLevel="0" collapsed="false">
      <c r="A53" s="0" t="s">
        <v>42</v>
      </c>
    </row>
    <row r="54" customFormat="false" ht="15" hidden="false" customHeight="false" outlineLevel="0" collapsed="false">
      <c r="A54" s="0" t="s">
        <v>43</v>
      </c>
    </row>
    <row r="55" customFormat="false" ht="15" hidden="false" customHeight="false" outlineLevel="0" collapsed="false">
      <c r="A55" s="0" t="s">
        <v>44</v>
      </c>
    </row>
    <row r="56" customFormat="false" ht="15" hidden="false" customHeight="false" outlineLevel="0" collapsed="false">
      <c r="A56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1" min="10" style="0" width="25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</row>
    <row r="2" customFormat="false" ht="15" hidden="false" customHeight="fals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60" hidden="false" customHeight="true" outlineLevel="0" collapsed="false">
      <c r="A3" s="5" t="s">
        <v>59</v>
      </c>
      <c r="B3" s="6" t="s">
        <v>60</v>
      </c>
      <c r="C3" s="6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7"/>
      <c r="J3" s="5"/>
      <c r="K3" s="5"/>
      <c r="L3" s="5"/>
    </row>
    <row r="4" customFormat="false" ht="60" hidden="false" customHeight="true" outlineLevel="0" collapsed="false">
      <c r="A4" s="5" t="s">
        <v>67</v>
      </c>
      <c r="B4" s="6" t="s">
        <v>60</v>
      </c>
      <c r="C4" s="6" t="s">
        <v>61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7"/>
      <c r="J4" s="5"/>
      <c r="K4" s="5"/>
      <c r="L4" s="5"/>
    </row>
    <row r="5" customFormat="false" ht="60" hidden="false" customHeight="true" outlineLevel="0" collapsed="false">
      <c r="A5" s="5" t="s">
        <v>73</v>
      </c>
      <c r="B5" s="6" t="s">
        <v>60</v>
      </c>
      <c r="C5" s="6" t="s">
        <v>61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7"/>
      <c r="J5" s="5"/>
      <c r="K5" s="5"/>
      <c r="L5" s="5"/>
    </row>
    <row r="6" customFormat="false" ht="60" hidden="false" customHeight="true" outlineLevel="0" collapsed="false">
      <c r="A6" s="8" t="s">
        <v>79</v>
      </c>
      <c r="B6" s="9" t="s">
        <v>80</v>
      </c>
      <c r="C6" s="9" t="s">
        <v>81</v>
      </c>
      <c r="D6" s="8" t="s">
        <v>74</v>
      </c>
      <c r="E6" s="8" t="s">
        <v>82</v>
      </c>
      <c r="F6" s="8" t="s">
        <v>83</v>
      </c>
      <c r="G6" s="8" t="s">
        <v>84</v>
      </c>
      <c r="H6" s="8" t="s">
        <v>85</v>
      </c>
      <c r="I6" s="10"/>
      <c r="J6" s="8"/>
      <c r="K6" s="8"/>
      <c r="L6" s="8"/>
    </row>
    <row r="7" customFormat="false" ht="15" hidden="false" customHeight="false" outlineLevel="0" collapsed="false">
      <c r="A7" s="4" t="s">
        <v>86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60" hidden="false" customHeight="true" outlineLevel="0" collapsed="false">
      <c r="A8" s="5" t="s">
        <v>87</v>
      </c>
      <c r="B8" s="6" t="s">
        <v>60</v>
      </c>
      <c r="C8" s="6" t="s">
        <v>61</v>
      </c>
      <c r="D8" s="5" t="s">
        <v>88</v>
      </c>
      <c r="E8" s="5" t="s">
        <v>89</v>
      </c>
      <c r="F8" s="5" t="s">
        <v>90</v>
      </c>
      <c r="G8" s="5" t="s">
        <v>91</v>
      </c>
      <c r="H8" s="5" t="s">
        <v>92</v>
      </c>
      <c r="I8" s="7"/>
      <c r="J8" s="5"/>
      <c r="K8" s="5"/>
      <c r="L8" s="5"/>
    </row>
    <row r="9" customFormat="false" ht="60" hidden="false" customHeight="true" outlineLevel="0" collapsed="false">
      <c r="A9" s="5" t="s">
        <v>93</v>
      </c>
      <c r="B9" s="6" t="s">
        <v>60</v>
      </c>
      <c r="C9" s="6" t="s">
        <v>61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7"/>
      <c r="J9" s="5"/>
      <c r="K9" s="5"/>
      <c r="L9" s="5"/>
    </row>
    <row r="10" customFormat="false" ht="60" hidden="false" customHeight="true" outlineLevel="0" collapsed="false">
      <c r="A10" s="5" t="s">
        <v>99</v>
      </c>
      <c r="B10" s="6" t="s">
        <v>60</v>
      </c>
      <c r="C10" s="6" t="s">
        <v>61</v>
      </c>
      <c r="D10" s="5" t="s">
        <v>100</v>
      </c>
      <c r="E10" s="5" t="s">
        <v>101</v>
      </c>
      <c r="F10" s="5" t="s">
        <v>102</v>
      </c>
      <c r="G10" s="5" t="s">
        <v>103</v>
      </c>
      <c r="H10" s="5" t="s">
        <v>104</v>
      </c>
      <c r="I10" s="7"/>
      <c r="J10" s="5"/>
      <c r="K10" s="5"/>
      <c r="L10" s="5"/>
    </row>
    <row r="11" customFormat="false" ht="15" hidden="false" customHeight="false" outlineLevel="0" collapsed="false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60" hidden="false" customHeight="true" outlineLevel="0" collapsed="false">
      <c r="A12" s="5" t="s">
        <v>106</v>
      </c>
      <c r="B12" s="6" t="s">
        <v>60</v>
      </c>
      <c r="C12" s="6" t="s">
        <v>61</v>
      </c>
      <c r="D12" s="5" t="s">
        <v>107</v>
      </c>
      <c r="E12" s="5" t="s">
        <v>108</v>
      </c>
      <c r="F12" s="5" t="s">
        <v>109</v>
      </c>
      <c r="G12" s="5" t="s">
        <v>110</v>
      </c>
      <c r="H12" s="5" t="s">
        <v>111</v>
      </c>
      <c r="I12" s="7"/>
      <c r="J12" s="5"/>
      <c r="K12" s="5"/>
      <c r="L12" s="5"/>
    </row>
    <row r="13" customFormat="false" ht="60" hidden="false" customHeight="true" outlineLevel="0" collapsed="false">
      <c r="A13" s="5" t="s">
        <v>112</v>
      </c>
      <c r="B13" s="6" t="s">
        <v>60</v>
      </c>
      <c r="C13" s="6" t="s">
        <v>61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7"/>
      <c r="J13" s="5"/>
      <c r="K13" s="5"/>
      <c r="L13" s="5"/>
    </row>
    <row r="14" customFormat="false" ht="60" hidden="false" customHeight="true" outlineLevel="0" collapsed="false">
      <c r="A14" s="5" t="s">
        <v>118</v>
      </c>
      <c r="B14" s="6" t="s">
        <v>60</v>
      </c>
      <c r="C14" s="6" t="s">
        <v>61</v>
      </c>
      <c r="D14" s="5" t="s">
        <v>68</v>
      </c>
      <c r="E14" s="5" t="s">
        <v>119</v>
      </c>
      <c r="F14" s="5" t="s">
        <v>120</v>
      </c>
      <c r="G14" s="5" t="s">
        <v>121</v>
      </c>
      <c r="H14" s="5" t="s">
        <v>122</v>
      </c>
      <c r="I14" s="7"/>
      <c r="J14" s="5"/>
      <c r="K14" s="5"/>
      <c r="L14" s="5"/>
    </row>
    <row r="15" customFormat="false" ht="15" hidden="false" customHeight="false" outlineLevel="0" collapsed="false">
      <c r="A15" s="4" t="s">
        <v>123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60" hidden="false" customHeight="true" outlineLevel="0" collapsed="false">
      <c r="A16" s="5" t="s">
        <v>124</v>
      </c>
      <c r="B16" s="6" t="s">
        <v>60</v>
      </c>
      <c r="C16" s="6" t="s">
        <v>61</v>
      </c>
      <c r="D16" s="5" t="s">
        <v>125</v>
      </c>
      <c r="E16" s="5" t="s">
        <v>126</v>
      </c>
      <c r="F16" s="5" t="s">
        <v>127</v>
      </c>
      <c r="G16" s="5" t="s">
        <v>128</v>
      </c>
      <c r="H16" s="5" t="s">
        <v>72</v>
      </c>
      <c r="I16" s="7"/>
      <c r="J16" s="5"/>
      <c r="K16" s="5"/>
      <c r="L16" s="5"/>
    </row>
    <row r="17" customFormat="false" ht="60" hidden="false" customHeight="true" outlineLevel="0" collapsed="false">
      <c r="A17" s="5" t="s">
        <v>129</v>
      </c>
      <c r="B17" s="6" t="s">
        <v>60</v>
      </c>
      <c r="C17" s="6" t="s">
        <v>61</v>
      </c>
      <c r="D17" s="5" t="s">
        <v>130</v>
      </c>
      <c r="E17" s="5" t="s">
        <v>131</v>
      </c>
      <c r="F17" s="5" t="s">
        <v>132</v>
      </c>
      <c r="G17" s="5" t="s">
        <v>133</v>
      </c>
      <c r="H17" s="5" t="s">
        <v>134</v>
      </c>
      <c r="I17" s="7"/>
      <c r="J17" s="5"/>
      <c r="K17" s="5"/>
      <c r="L17" s="5"/>
    </row>
    <row r="18" customFormat="false" ht="60" hidden="false" customHeight="true" outlineLevel="0" collapsed="false">
      <c r="A18" s="5" t="s">
        <v>135</v>
      </c>
      <c r="B18" s="6" t="s">
        <v>60</v>
      </c>
      <c r="C18" s="6" t="s">
        <v>61</v>
      </c>
      <c r="D18" s="5" t="s">
        <v>136</v>
      </c>
      <c r="E18" s="5" t="s">
        <v>137</v>
      </c>
      <c r="F18" s="5" t="s">
        <v>138</v>
      </c>
      <c r="G18" s="5" t="s">
        <v>139</v>
      </c>
      <c r="H18" s="5" t="s">
        <v>140</v>
      </c>
      <c r="I18" s="7"/>
      <c r="J18" s="5"/>
      <c r="K18" s="5"/>
      <c r="L18" s="5"/>
    </row>
    <row r="19" customFormat="false" ht="15" hidden="false" customHeight="false" outlineLevel="0" collapsed="false">
      <c r="A19" s="4" t="s">
        <v>141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60" hidden="false" customHeight="true" outlineLevel="0" collapsed="false">
      <c r="A20" s="5" t="s">
        <v>142</v>
      </c>
      <c r="B20" s="6" t="s">
        <v>60</v>
      </c>
      <c r="C20" s="6" t="s">
        <v>61</v>
      </c>
      <c r="D20" s="5" t="s">
        <v>143</v>
      </c>
      <c r="E20" s="5" t="s">
        <v>144</v>
      </c>
      <c r="F20" s="5" t="s">
        <v>145</v>
      </c>
      <c r="G20" s="5" t="s">
        <v>146</v>
      </c>
      <c r="H20" s="5" t="s">
        <v>147</v>
      </c>
      <c r="I20" s="7"/>
      <c r="J20" s="5"/>
      <c r="K20" s="5"/>
      <c r="L20" s="5"/>
    </row>
    <row r="21" customFormat="false" ht="60" hidden="false" customHeight="true" outlineLevel="0" collapsed="false">
      <c r="A21" s="5" t="s">
        <v>148</v>
      </c>
      <c r="B21" s="6" t="s">
        <v>60</v>
      </c>
      <c r="C21" s="6" t="s">
        <v>61</v>
      </c>
      <c r="D21" s="5" t="s">
        <v>149</v>
      </c>
      <c r="E21" s="5" t="s">
        <v>150</v>
      </c>
      <c r="F21" s="5" t="s">
        <v>151</v>
      </c>
      <c r="G21" s="5" t="s">
        <v>152</v>
      </c>
      <c r="H21" s="5" t="s">
        <v>153</v>
      </c>
      <c r="I21" s="7"/>
      <c r="J21" s="5"/>
      <c r="K21" s="5"/>
      <c r="L21" s="5"/>
    </row>
    <row r="22" customFormat="false" ht="60" hidden="false" customHeight="true" outlineLevel="0" collapsed="false">
      <c r="A22" s="8" t="s">
        <v>154</v>
      </c>
      <c r="B22" s="9" t="s">
        <v>80</v>
      </c>
      <c r="C22" s="9" t="s">
        <v>81</v>
      </c>
      <c r="D22" s="8" t="s">
        <v>155</v>
      </c>
      <c r="E22" s="8" t="s">
        <v>156</v>
      </c>
      <c r="F22" s="8" t="s">
        <v>157</v>
      </c>
      <c r="G22" s="8" t="s">
        <v>158</v>
      </c>
      <c r="H22" s="8" t="s">
        <v>159</v>
      </c>
      <c r="I22" s="10"/>
      <c r="J22" s="8"/>
      <c r="K22" s="8"/>
      <c r="L22" s="8"/>
    </row>
    <row r="23" customFormat="false" ht="15" hidden="false" customHeight="false" outlineLevel="0" collapsed="false">
      <c r="A23" s="4" t="s">
        <v>160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60" hidden="false" customHeight="true" outlineLevel="0" collapsed="false">
      <c r="A24" s="5" t="s">
        <v>161</v>
      </c>
      <c r="B24" s="6" t="s">
        <v>60</v>
      </c>
      <c r="C24" s="6" t="s">
        <v>61</v>
      </c>
      <c r="D24" s="5" t="s">
        <v>162</v>
      </c>
      <c r="E24" s="5" t="s">
        <v>163</v>
      </c>
      <c r="F24" s="5" t="s">
        <v>164</v>
      </c>
      <c r="G24" s="5" t="s">
        <v>165</v>
      </c>
      <c r="H24" s="5" t="s">
        <v>166</v>
      </c>
      <c r="I24" s="7"/>
      <c r="J24" s="5"/>
      <c r="K24" s="5"/>
      <c r="L24" s="5"/>
    </row>
    <row r="25" customFormat="false" ht="60" hidden="false" customHeight="true" outlineLevel="0" collapsed="false">
      <c r="A25" s="5" t="s">
        <v>167</v>
      </c>
      <c r="B25" s="6" t="s">
        <v>60</v>
      </c>
      <c r="C25" s="6" t="s">
        <v>61</v>
      </c>
      <c r="D25" s="5" t="s">
        <v>168</v>
      </c>
      <c r="E25" s="5" t="s">
        <v>169</v>
      </c>
      <c r="F25" s="5" t="s">
        <v>170</v>
      </c>
      <c r="G25" s="5" t="s">
        <v>171</v>
      </c>
      <c r="H25" s="5" t="s">
        <v>172</v>
      </c>
      <c r="I25" s="7"/>
      <c r="J25" s="5"/>
      <c r="K25" s="5"/>
      <c r="L25" s="5"/>
    </row>
    <row r="26" customFormat="false" ht="60" hidden="false" customHeight="true" outlineLevel="0" collapsed="false">
      <c r="A26" s="5" t="s">
        <v>173</v>
      </c>
      <c r="B26" s="6" t="s">
        <v>60</v>
      </c>
      <c r="C26" s="6" t="s">
        <v>61</v>
      </c>
      <c r="D26" s="5" t="s">
        <v>174</v>
      </c>
      <c r="E26" s="5" t="s">
        <v>175</v>
      </c>
      <c r="F26" s="5" t="s">
        <v>176</v>
      </c>
      <c r="G26" s="5" t="s">
        <v>177</v>
      </c>
      <c r="H26" s="5" t="s">
        <v>178</v>
      </c>
      <c r="I26" s="7"/>
      <c r="J26" s="5"/>
      <c r="K26" s="5"/>
      <c r="L26" s="5"/>
    </row>
  </sheetData>
  <mergeCells count="6">
    <mergeCell ref="A2:L2"/>
    <mergeCell ref="A7:L7"/>
    <mergeCell ref="A11:L11"/>
    <mergeCell ref="A15:L15"/>
    <mergeCell ref="A19:L19"/>
    <mergeCell ref="A23:L23"/>
  </mergeCells>
  <dataValidations count="2">
    <dataValidation allowBlank="true" error="Kies een geldige status" errorStyle="stop" operator="between" showDropDown="false" showErrorMessage="false" showInputMessage="false" sqref="I3:I6 I8:I10 I12:I14 I16:I18 I20:I22 I24:I26" type="list">
      <formula1>"Compliant,Partial,Non-Compliant,N/A"</formula1>
      <formula2>0</formula2>
    </dataValidation>
    <dataValidation allowBlank="false" error="Kies Ja of Nee" errorStyle="stop" operator="between" showDropDown="false" showErrorMessage="false" showInputMessage="false" sqref="C3:C6 C8:C10 C12:C14 C16:C18 C20:C22 C24:C26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179</v>
      </c>
      <c r="B1" s="11" t="s">
        <v>180</v>
      </c>
    </row>
    <row r="2" customFormat="false" ht="15" hidden="false" customHeight="false" outlineLevel="0" collapsed="false">
      <c r="A2" s="12" t="s">
        <v>181</v>
      </c>
      <c r="B2" s="12"/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3" t="s">
        <v>182</v>
      </c>
      <c r="B4" s="12"/>
    </row>
    <row r="5" customFormat="false" ht="15" hidden="false" customHeight="false" outlineLevel="0" collapsed="false">
      <c r="A5" s="12" t="s">
        <v>183</v>
      </c>
      <c r="B5" s="12" t="n">
        <v>17</v>
      </c>
    </row>
    <row r="6" customFormat="false" ht="15" hidden="false" customHeight="false" outlineLevel="0" collapsed="false">
      <c r="A6" s="12" t="s">
        <v>184</v>
      </c>
      <c r="B6" s="12" t="n">
        <v>2</v>
      </c>
    </row>
    <row r="7" customFormat="false" ht="15" hidden="false" customHeight="false" outlineLevel="0" collapsed="false">
      <c r="A7" s="12" t="s">
        <v>185</v>
      </c>
      <c r="B7" s="12" t="n">
        <v>19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186</v>
      </c>
      <c r="B9" s="12"/>
    </row>
    <row r="10" customFormat="false" ht="15" hidden="false" customHeight="false" outlineLevel="0" collapsed="false">
      <c r="A10" s="12" t="s">
        <v>187</v>
      </c>
      <c r="B10" s="12" t="n">
        <v>17</v>
      </c>
    </row>
    <row r="11" customFormat="false" ht="15" hidden="false" customHeight="false" outlineLevel="0" collapsed="false">
      <c r="A11" s="12" t="s">
        <v>188</v>
      </c>
      <c r="B11" s="12" t="n">
        <f aca="false">COUNTIF(Assessment!C:C,"Ja")</f>
        <v>17</v>
      </c>
    </row>
    <row r="12" customFormat="false" ht="15" hidden="false" customHeight="false" outlineLevel="0" collapsed="false">
      <c r="A12" s="12" t="s">
        <v>189</v>
      </c>
      <c r="B12" s="12" t="n">
        <f aca="false">COUNTIF(Assessment!C:C,"Nee")</f>
        <v>2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3" t="s">
        <v>190</v>
      </c>
      <c r="B14" s="12"/>
    </row>
    <row r="15" customFormat="false" ht="15" hidden="false" customHeight="false" outlineLevel="0" collapsed="false">
      <c r="A15" s="12" t="s">
        <v>191</v>
      </c>
      <c r="B15" s="12" t="n">
        <f aca="false">COUNTIF(Assessment!I:I,"Compliant")</f>
        <v>0</v>
      </c>
    </row>
    <row r="16" customFormat="false" ht="15" hidden="false" customHeight="false" outlineLevel="0" collapsed="false">
      <c r="A16" s="12" t="s">
        <v>192</v>
      </c>
      <c r="B16" s="12" t="n">
        <f aca="false">COUNTIF(Assessment!I:I,"Partial")</f>
        <v>0</v>
      </c>
    </row>
    <row r="17" customFormat="false" ht="15" hidden="false" customHeight="false" outlineLevel="0" collapsed="false">
      <c r="A17" s="12" t="s">
        <v>193</v>
      </c>
      <c r="B17" s="12" t="n">
        <f aca="false">COUNTIF(Assessment!I:I,"Non-Compliant")</f>
        <v>0</v>
      </c>
    </row>
    <row r="18" customFormat="false" ht="15" hidden="false" customHeight="false" outlineLevel="0" collapsed="false">
      <c r="A18" s="12" t="s">
        <v>194</v>
      </c>
      <c r="B18" s="12" t="n">
        <f aca="false">COUNTIF(Assessment!I:I,"N/A")</f>
        <v>0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195</v>
      </c>
      <c r="B20" s="12"/>
    </row>
    <row r="21" customFormat="false" ht="15" hidden="false" customHeight="false" outlineLevel="0" collapsed="false">
      <c r="A21" s="12" t="s">
        <v>196</v>
      </c>
      <c r="B21" s="12" t="n">
        <f aca="false">COUNTIFS(Assessment!C:C,"Ja",Assessment!I:I,"Compliant")</f>
        <v>0</v>
      </c>
    </row>
    <row r="22" customFormat="false" ht="15" hidden="false" customHeight="false" outlineLevel="0" collapsed="false">
      <c r="A22" s="12" t="s">
        <v>197</v>
      </c>
      <c r="B22" s="12" t="n">
        <f aca="false">COUNTIFS(Assessment!C:C,"Ja",Assessment!I:I,"Partial")</f>
        <v>0</v>
      </c>
    </row>
    <row r="23" customFormat="false" ht="15" hidden="false" customHeight="false" outlineLevel="0" collapsed="false">
      <c r="A23" s="12" t="s">
        <v>198</v>
      </c>
      <c r="B23" s="12" t="n">
        <f aca="false">COUNTIFS(Assessment!C:C,"Ja",Assessment!I:I,"Non-Compliant")</f>
        <v>0</v>
      </c>
    </row>
    <row r="24" customFormat="false" ht="15" hidden="false" customHeight="false" outlineLevel="0" collapsed="false">
      <c r="A24" s="12" t="s">
        <v>199</v>
      </c>
      <c r="B24" s="12" t="n">
        <f aca="false">COUNTIFS(Assessment!C:C,"Ja",Assessment!I:I,"N/A")</f>
        <v>0</v>
      </c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3" t="s">
        <v>200</v>
      </c>
      <c r="B26" s="12"/>
    </row>
    <row r="27" customFormat="false" ht="15" hidden="false" customHeight="false" outlineLevel="0" collapsed="false">
      <c r="A27" s="12" t="s">
        <v>201</v>
      </c>
      <c r="B27" s="14" t="n">
        <f aca="false">IF((B14+B15+B16)&gt;0,ROUND(B14/(B14+B15+B16)*100,1),0)</f>
        <v>0</v>
      </c>
    </row>
    <row r="28" customFormat="false" ht="15" hidden="false" customHeight="false" outlineLevel="0" collapsed="false">
      <c r="A28" s="12" t="s">
        <v>202</v>
      </c>
      <c r="B28" s="14" t="n">
        <f aca="false">IF((B20+B21+B22)&gt;0,ROUND(B20/(B20+B21+B22)*100,1),0)</f>
        <v>0</v>
      </c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3" t="s">
        <v>203</v>
      </c>
      <c r="B30" s="12"/>
    </row>
    <row r="31" customFormat="false" ht="15" hidden="false" customHeight="false" outlineLevel="0" collapsed="false">
      <c r="A31" s="12" t="s">
        <v>204</v>
      </c>
      <c r="B31" s="12" t="s">
        <v>205</v>
      </c>
    </row>
    <row r="32" customFormat="false" ht="15" hidden="false" customHeight="false" outlineLevel="0" collapsed="false">
      <c r="A32" s="12" t="s">
        <v>206</v>
      </c>
      <c r="B32" s="12" t="s">
        <v>207</v>
      </c>
    </row>
    <row r="33" customFormat="false" ht="15" hidden="false" customHeight="false" outlineLevel="0" collapsed="false">
      <c r="A33" s="12" t="s">
        <v>208</v>
      </c>
      <c r="B33" s="12" t="s">
        <v>209</v>
      </c>
    </row>
    <row r="34" customFormat="false" ht="15" hidden="false" customHeight="false" outlineLevel="0" collapsed="false">
      <c r="A34" s="12" t="s">
        <v>210</v>
      </c>
      <c r="B34" s="1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5" t="s">
        <v>212</v>
      </c>
      <c r="B1" s="15"/>
      <c r="C1" s="15"/>
    </row>
    <row r="3" customFormat="false" ht="15" hidden="false" customHeight="false" outlineLevel="0" collapsed="false">
      <c r="A3" s="16" t="s">
        <v>213</v>
      </c>
    </row>
    <row r="5" customFormat="false" ht="15" hidden="false" customHeight="false" outlineLevel="0" collapsed="false">
      <c r="A5" s="0" t="s">
        <v>42</v>
      </c>
      <c r="B5" s="17"/>
    </row>
    <row r="6" customFormat="false" ht="15" hidden="false" customHeight="false" outlineLevel="0" collapsed="false">
      <c r="A6" s="0" t="s">
        <v>214</v>
      </c>
      <c r="B6" s="17" t="s">
        <v>215</v>
      </c>
    </row>
    <row r="7" customFormat="false" ht="15" hidden="false" customHeight="false" outlineLevel="0" collapsed="false">
      <c r="A7" s="0" t="s">
        <v>216</v>
      </c>
      <c r="B7" s="17" t="s">
        <v>217</v>
      </c>
    </row>
    <row r="8" customFormat="false" ht="15" hidden="false" customHeight="false" outlineLevel="0" collapsed="false">
      <c r="A8" s="0" t="s">
        <v>218</v>
      </c>
      <c r="B8" s="17" t="s">
        <v>219</v>
      </c>
    </row>
    <row r="9" customFormat="false" ht="15" hidden="false" customHeight="false" outlineLevel="0" collapsed="false">
      <c r="A9" s="0" t="s">
        <v>44</v>
      </c>
      <c r="B9" s="17"/>
    </row>
    <row r="11" customFormat="false" ht="15" hidden="false" customHeight="false" outlineLevel="0" collapsed="false">
      <c r="A11" s="2" t="s">
        <v>220</v>
      </c>
    </row>
    <row r="12" customFormat="false" ht="39.75" hidden="false" customHeight="true" outlineLevel="0" collapsed="false">
      <c r="A12" s="18" t="s">
        <v>221</v>
      </c>
      <c r="B12" s="18"/>
    </row>
    <row r="14" customFormat="false" ht="15" hidden="false" customHeight="false" outlineLevel="0" collapsed="false">
      <c r="A14" s="16" t="s">
        <v>222</v>
      </c>
    </row>
    <row r="15" customFormat="false" ht="15" hidden="false" customHeight="false" outlineLevel="0" collapsed="false">
      <c r="A15" s="0" t="s">
        <v>223</v>
      </c>
    </row>
    <row r="16" customFormat="false" ht="15" hidden="false" customHeight="false" outlineLevel="0" collapsed="false">
      <c r="A16" s="0" t="s">
        <v>224</v>
      </c>
    </row>
    <row r="17" customFormat="false" ht="15" hidden="false" customHeight="false" outlineLevel="0" collapsed="false">
      <c r="A17" s="0" t="s">
        <v>225</v>
      </c>
    </row>
    <row r="18" customFormat="false" ht="15" hidden="false" customHeight="false" outlineLevel="0" collapsed="false">
      <c r="A18" s="0" t="s">
        <v>226</v>
      </c>
    </row>
    <row r="19" customFormat="false" ht="15" hidden="false" customHeight="false" outlineLevel="0" collapsed="false">
      <c r="A19" s="0" t="s">
        <v>227</v>
      </c>
    </row>
    <row r="20" customFormat="false" ht="15" hidden="false" customHeight="false" outlineLevel="0" collapsed="false">
      <c r="A20" s="0" t="s">
        <v>228</v>
      </c>
    </row>
    <row r="21" customFormat="false" ht="15" hidden="false" customHeight="false" outlineLevel="0" collapsed="false">
      <c r="A21" s="0" t="s">
        <v>229</v>
      </c>
    </row>
    <row r="23" customFormat="false" ht="15" hidden="false" customHeight="false" outlineLevel="0" collapsed="false">
      <c r="A23" s="19" t="s">
        <v>230</v>
      </c>
    </row>
    <row r="25" customFormat="false" ht="15" hidden="false" customHeight="false" outlineLevel="0" collapsed="false">
      <c r="A25" s="16" t="s">
        <v>231</v>
      </c>
    </row>
    <row r="26" customFormat="false" ht="15" hidden="false" customHeight="false" outlineLevel="0" collapsed="false">
      <c r="A26" s="0" t="s">
        <v>232</v>
      </c>
    </row>
    <row r="28" customFormat="false" ht="15" hidden="false" customHeight="false" outlineLevel="0" collapsed="false">
      <c r="A28" s="16" t="s">
        <v>233</v>
      </c>
    </row>
    <row r="29" customFormat="false" ht="15" hidden="false" customHeight="false" outlineLevel="0" collapsed="false">
      <c r="A29" s="0" t="s">
        <v>234</v>
      </c>
    </row>
    <row r="30" customFormat="false" ht="15" hidden="false" customHeight="false" outlineLevel="0" collapsed="false">
      <c r="A30" s="0" t="s">
        <v>235</v>
      </c>
    </row>
    <row r="31" customFormat="false" ht="15" hidden="false" customHeight="false" outlineLevel="0" collapsed="false">
      <c r="A31" s="0" t="s">
        <v>236</v>
      </c>
    </row>
    <row r="32" customFormat="false" ht="15" hidden="false" customHeight="false" outlineLevel="0" collapsed="false">
      <c r="A32" s="0" t="s">
        <v>237</v>
      </c>
    </row>
    <row r="33" customFormat="false" ht="15" hidden="false" customHeight="false" outlineLevel="0" collapsed="false">
      <c r="A33" s="0" t="str">
        <f aca="false">CONCATENATE("assessment_date: """,B8,"""")</f>
        <v>assessment_date: "2026-02-11"</v>
      </c>
    </row>
    <row r="34" customFormat="false" ht="15" hidden="false" customHeight="false" outlineLevel="0" collapsed="false">
      <c r="A34" s="0" t="str">
        <f aca="true">CONCATENATE("export_timestamp: """,TEXT(NOW(),"YYYY-MM-DD HH:MM:SS"),"""")</f>
        <v>export_timestamp: "2026-02-11 10:46:44"</v>
      </c>
    </row>
    <row r="35" customFormat="false" ht="15" hidden="false" customHeight="false" outlineLevel="0" collapsed="false">
      <c r="A35" s="0" t="str">
        <f aca="false">CONCATENATE("assessor: """,B5,"""")</f>
        <v>assessor: ""</v>
      </c>
    </row>
    <row r="36" customFormat="false" ht="15" hidden="false" customHeight="false" outlineLevel="0" collapsed="false">
      <c r="A36" s="0" t="str">
        <f aca="false">CONCATENATE("system: """,B6,"""")</f>
        <v>system: "XENA-ZGW"</v>
      </c>
    </row>
    <row r="37" customFormat="false" ht="15" hidden="false" customHeight="false" outlineLevel="0" collapsed="false">
      <c r="A37" s="0" t="str">
        <f aca="false">CONCATENATE("environment: """,B7,"""")</f>
        <v>environment: "Productie"</v>
      </c>
    </row>
    <row r="38" customFormat="false" ht="15" hidden="false" customHeight="false" outlineLevel="0" collapsed="false">
      <c r="A38" s="0" t="str">
        <f aca="false">CONCATENATE("approved_by: """,B9,"""")</f>
        <v>approved_by: ""</v>
      </c>
    </row>
    <row r="40" customFormat="false" ht="15" hidden="false" customHeight="false" outlineLevel="0" collapsed="false">
      <c r="A40" s="0" t="s">
        <v>238</v>
      </c>
    </row>
    <row r="41" customFormat="false" ht="15" hidden="false" customHeight="false" outlineLevel="0" collapsed="false">
      <c r="A41" s="0" t="str">
        <f aca="false">CONCATENATE("total_score: ",'Summary Dashboard'!B27)</f>
        <v>total_score: 0</v>
      </c>
    </row>
    <row r="42" customFormat="false" ht="15" hidden="false" customHeight="false" outlineLevel="0" collapsed="false">
      <c r="A42" s="0" t="str">
        <f aca="false">CONCATENATE("baseline_score: ",'Summary Dashboard'!B28)</f>
        <v>baseline_score: 0</v>
      </c>
    </row>
    <row r="44" customFormat="false" ht="15" hidden="false" customHeight="false" outlineLevel="0" collapsed="false">
      <c r="A44" s="0" t="s">
        <v>239</v>
      </c>
    </row>
    <row r="45" customFormat="false" ht="15" hidden="false" customHeight="false" outlineLevel="0" collapsed="false">
      <c r="A45" s="0" t="str">
        <f aca="false">CONCATENATE("total_measures: ",'Summary Dashboard'!B6)</f>
        <v>total_measures: 2</v>
      </c>
    </row>
    <row r="46" customFormat="false" ht="15" hidden="false" customHeight="false" outlineLevel="0" collapsed="false">
      <c r="A46" s="0" t="str">
        <f aca="false">CONCATENATE("baseline_measures: ",'Summary Dashboard'!B10)</f>
        <v>baseline_measures: 17</v>
      </c>
    </row>
    <row r="48" customFormat="false" ht="15" hidden="false" customHeight="false" outlineLevel="0" collapsed="false">
      <c r="A48" s="0" t="str">
        <f aca="false">CONCATENATE("compliant: ",'Summary Dashboard'!B14)</f>
        <v>compliant: </v>
      </c>
    </row>
    <row r="49" customFormat="false" ht="15" hidden="false" customHeight="false" outlineLevel="0" collapsed="false">
      <c r="A49" s="0" t="str">
        <f aca="false">CONCATENATE("partial: ",'Summary Dashboard'!B15)</f>
        <v>partial: 0</v>
      </c>
    </row>
    <row r="50" customFormat="false" ht="15" hidden="false" customHeight="false" outlineLevel="0" collapsed="false">
      <c r="A50" s="0" t="str">
        <f aca="false">CONCATENATE("non_compliant: ",'Summary Dashboard'!B16)</f>
        <v>non_compliant: 0</v>
      </c>
    </row>
    <row r="51" customFormat="false" ht="15" hidden="false" customHeight="false" outlineLevel="0" collapsed="false">
      <c r="A51" s="0" t="str">
        <f aca="false">CONCATENATE("na: ",'Summary Dashboard'!B17)</f>
        <v>na: 0</v>
      </c>
    </row>
    <row r="53" customFormat="false" ht="15" hidden="false" customHeight="false" outlineLevel="0" collapsed="false">
      <c r="A53" s="0" t="str">
        <f aca="false">CONCATENATE("baseline_compliant: ",'Summary Dashboard'!B20)</f>
        <v>baseline_compliant: </v>
      </c>
    </row>
    <row r="54" customFormat="false" ht="15" hidden="false" customHeight="false" outlineLevel="0" collapsed="false">
      <c r="A54" s="0" t="str">
        <f aca="false">CONCATENATE("baseline_partial: ",'Summary Dashboard'!B21)</f>
        <v>baseline_partial: 0</v>
      </c>
    </row>
    <row r="55" customFormat="false" ht="15" hidden="false" customHeight="false" outlineLevel="0" collapsed="false">
      <c r="A55" s="0" t="str">
        <f aca="false">CONCATENATE("baseline_non_compliant: ",'Summary Dashboard'!B22)</f>
        <v>baseline_non_compliant: 0</v>
      </c>
    </row>
    <row r="56" customFormat="false" ht="15" hidden="false" customHeight="false" outlineLevel="0" collapsed="false">
      <c r="A56" s="0" t="str">
        <f aca="false">CONCATENATE("baseline_na: ",'Summary Dashboard'!B23)</f>
        <v>baseline_na: 0</v>
      </c>
    </row>
    <row r="57" customFormat="false" ht="15" hidden="false" customHeight="false" outlineLevel="0" collapsed="false">
      <c r="A57" s="0" t="s">
        <v>234</v>
      </c>
    </row>
    <row r="59" customFormat="false" ht="15" hidden="false" customHeight="false" outlineLevel="0" collapsed="false">
      <c r="A59" s="0" t="s">
        <v>240</v>
      </c>
    </row>
    <row r="61" customFormat="false" ht="15" hidden="false" customHeight="false" outlineLevel="0" collapsed="false">
      <c r="A61" s="0" t="str">
        <f aca="true">CONCATENATE("&gt; Geëxporteerd op ",TEXT(NOW(),"YYYY-MM-DD HH:MM:SS"))</f>
        <v>&gt; Geëxporteerd op 2026-02-11 10:46:44</v>
      </c>
    </row>
    <row r="63" customFormat="false" ht="15" hidden="false" customHeight="false" outlineLevel="0" collapsed="false">
      <c r="A63" s="0" t="s">
        <v>241</v>
      </c>
    </row>
    <row r="65" customFormat="false" ht="15" hidden="false" customHeight="false" outlineLevel="0" collapsed="false">
      <c r="A65" s="0" t="s">
        <v>242</v>
      </c>
    </row>
    <row r="66" customFormat="false" ht="15" hidden="false" customHeight="false" outlineLevel="0" collapsed="false">
      <c r="A66" s="0" t="s">
        <v>243</v>
      </c>
    </row>
    <row r="67" customFormat="false" ht="15" hidden="false" customHeight="false" outlineLevel="0" collapsed="false">
      <c r="A67" s="0" t="str">
        <f aca="false">CONCATENATE("| Baseline Score | ",'Summary Dashboard'!B28,"% |")</f>
        <v>| Baseline Score | 0% |</v>
      </c>
    </row>
    <row r="68" customFormat="false" ht="15" hidden="false" customHeight="false" outlineLevel="0" collapsed="false">
      <c r="A68" s="0" t="str">
        <f aca="false">CONCATENATE("| Totaal Score | ",'Summary Dashboard'!B27,"% |")</f>
        <v>| Totaal Score | 0% |</v>
      </c>
    </row>
    <row r="70" customFormat="false" ht="15" hidden="false" customHeight="false" outlineLevel="0" collapsed="false">
      <c r="A70" s="20" t="s">
        <v>244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2026-02-11T10:46:34Z</dcterms:created>
  <dc:creator>openpyxl</dc:creator>
  <dc:description/>
  <dc:language>en-US</dc:language>
  <cp:lastModifiedBy/>
  <dcterms:modified xsi:type="dcterms:W3CDTF">2026-02-11T10:46:34Z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