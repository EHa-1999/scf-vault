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<sst xmlns="http://schemas.openxmlformats.org/spreadsheetml/2006/main" count="300" uniqueCount="257">
  <si>
    <t xml:space="preserve">SECURITY SELF-ASSESSMENT: PostgreSQL</t>
  </si>
  <si>
    <t xml:space="preserve">Benchmark: EXT-BM-PostgreSQL v1.0</t>
  </si>
  <si>
    <t xml:space="preserve">Versie: 15+</t>
  </si>
  <si>
    <t xml:space="preserve">Bron: postgresql.org/docs/current/security.html</t>
  </si>
  <si>
    <t xml:space="preserve">PostgreSQL is een enterprise-grade relationele database. Deze benchmark bevat security hardening maatregelen voor productie deployments.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</si>
  <si>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</si>
  <si>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</si>
  <si>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</si>
  <si>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</si>
  <si>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</si>
  <si>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</si>
  <si>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</si>
  <si>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</si>
  <si>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</si>
  <si>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</si>
  <si>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</si>
  <si>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</si>
  <si>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</si>
  <si>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</si>
  <si>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</si>
  <si>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</si>
  <si>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</si>
  <si>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</si>
  <si>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</si>
  <si>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</si>
  <si>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</si>
  <si>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</si>
  <si>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</si>
  <si>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</si>
  <si>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</si>
  <si>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</si>
  <si>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</si>
  <si>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</si>
  <si>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</si>
  <si>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</si>
  <si>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</si>
  <si>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</si>
  <si>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</si>
  <si>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</si>
  <si>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</si>
  <si>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</si>
  <si>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</si>
  <si>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</si>
  <si>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</si>
  <si>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</si>
  <si>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</si>
  <si>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</si>
  <si>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</si>
  <si>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</si>
  <si>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</si>
  <si>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</si>
  <si>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</si>
  <si>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</si>
  <si>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</si>
  <si>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</si>
  <si>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</si>
  <si>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</si>
  <si>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</si>
  <si>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Authentication</t>
  </si>
  <si>
    <t xml:space="preserve">PG-1.1</t>
  </si>
  <si>
    <t xml:space="preserve">L1</t>
  </si>
  <si>
    <t xml:space="preserve">Ja</t>
  </si>
  <si>
    <t xml:space="preserve">CIS-5.2, CIS-3.11</t>
  </si>
  <si>
    <t xml:space="preserve">SCRAM-SHA-256 authentication</t>
  </si>
  <si>
    <t xml:space="preserve">Wachtwoord authenticatie gebruikt scram-sha-256.</t>
  </si>
  <si>
    <t xml:space="preserve">grep -v "^#" /var/lib/postgresql/data/pg_hba.conf</t>
  </si>
  <si>
    <t xml:space="preserve">scram-sha-256</t>
  </si>
  <si>
    <t xml:space="preserve">PG-1.2</t>
  </si>
  <si>
    <t xml:space="preserve">CIS-5.1, CIS-6.1</t>
  </si>
  <si>
    <t xml:space="preserve">No trust authentication</t>
  </si>
  <si>
    <t xml:space="preserve">Trust authentication is niet gebruikt voor remote connecties.</t>
  </si>
  <si>
    <t xml:space="preserve">grep "trust" /var/lib/postgresql/data/pg_hba.conf</t>
  </si>
  <si>
    <t xml:space="preserve">No trust for remote</t>
  </si>
  <si>
    <t xml:space="preserve">PG-1.3</t>
  </si>
  <si>
    <t xml:space="preserve">CIS-6.2, CIS-4.1</t>
  </si>
  <si>
    <t xml:space="preserve">Connection limits</t>
  </si>
  <si>
    <t xml:space="preserve">Connection limits zijn ingesteld per user.</t>
  </si>
  <si>
    <t xml:space="preserve">SELECT rolname, rolconnlimit FROM pg_roles;</t>
  </si>
  <si>
    <t xml:space="preserve">Limits set</t>
  </si>
  <si>
    <t xml:space="preserve">2. Authorization</t>
  </si>
  <si>
    <t xml:space="preserve">PG-2.1</t>
  </si>
  <si>
    <t xml:space="preserve">CIS-6.6, CIS-6.8</t>
  </si>
  <si>
    <t xml:space="preserve">Least privilege</t>
  </si>
  <si>
    <t xml:space="preserve">Gebruikers hebben alleen minimaal benodigde rechten.</t>
  </si>
  <si>
    <t xml:space="preserve">SELECT grantee, table_schema, privilege_type FROM information_schema.table_privileges;</t>
  </si>
  <si>
    <t xml:space="preserve">Minimal privileges</t>
  </si>
  <si>
    <t xml:space="preserve">PG-2.2</t>
  </si>
  <si>
    <t xml:space="preserve">CIS-5.4, CIS-6.8</t>
  </si>
  <si>
    <t xml:space="preserve">No application superuser</t>
  </si>
  <si>
    <t xml:space="preserve">Applicaties gebruiken geen superuser accounts.</t>
  </si>
  <si>
    <t xml:space="preserve">SELECT rolname, rolsuper FROM pg_roles WHERE rolsuper = true;</t>
  </si>
  <si>
    <t xml:space="preserve">Only postgres superuser</t>
  </si>
  <si>
    <t xml:space="preserve">PG-2.3</t>
  </si>
  <si>
    <t xml:space="preserve">CIS-6.6</t>
  </si>
  <si>
    <t xml:space="preserve">Public schema restricted</t>
  </si>
  <si>
    <t xml:space="preserve">Public schema heeft geen default CREATE rechten.</t>
  </si>
  <si>
    <t xml:space="preserve">SELECT nspname, nspacl FROM pg_namespace WHERE nspname = 'public';</t>
  </si>
  <si>
    <t xml:space="preserve">CREATE revoked from PUBLIC</t>
  </si>
  <si>
    <t xml:space="preserve">PG-2.4</t>
  </si>
  <si>
    <t xml:space="preserve">L2</t>
  </si>
  <si>
    <t xml:space="preserve">Nee</t>
  </si>
  <si>
    <t xml:space="preserve">CIS-6.6, CIS-3.3</t>
  </si>
  <si>
    <t xml:space="preserve">Row Level Security</t>
  </si>
  <si>
    <t xml:space="preserve">RLS is ingeschakeld voor multi-tenant data isolatie.</t>
  </si>
  <si>
    <t xml:space="preserve">SELECT tablename, rowsecurity FROM pg_tables WHERE rowsecurity = true;</t>
  </si>
  <si>
    <t xml:space="preserve">RLS enabled where needed</t>
  </si>
  <si>
    <t xml:space="preserve">3. Encryption</t>
  </si>
  <si>
    <t xml:space="preserve">PG-3.1</t>
  </si>
  <si>
    <t xml:space="preserve">CIS-3.10</t>
  </si>
  <si>
    <t xml:space="preserve">SSL/TLS required</t>
  </si>
  <si>
    <t xml:space="preserve">Alle database connecties verlopen via SSL/TLS.</t>
  </si>
  <si>
    <t xml:space="preserve">SHOW ssl; grep ssl /var/lib/postgresql/data/postgresql.conf</t>
  </si>
  <si>
    <t xml:space="preserve">ssl = on, hostssl in pg_hba</t>
  </si>
  <si>
    <t xml:space="preserve">PG-3.2</t>
  </si>
  <si>
    <t xml:space="preserve">TLS 1.2 minimum</t>
  </si>
  <si>
    <t xml:space="preserve">Minimaal TLS 1.2 wordt afgedwongen.</t>
  </si>
  <si>
    <t xml:space="preserve">SHOW ssl_min_protocol_version;</t>
  </si>
  <si>
    <t xml:space="preserve">TLSv1.2</t>
  </si>
  <si>
    <t xml:space="preserve">PG-3.3</t>
  </si>
  <si>
    <t xml:space="preserve">CIS-3.11</t>
  </si>
  <si>
    <t xml:space="preserve">Data-at-rest encryption</t>
  </si>
  <si>
    <t xml:space="preserve">Database files zijn versleuteld op disk niveau.</t>
  </si>
  <si>
    <t xml:space="preserve">lsblk -f; dmsetup status</t>
  </si>
  <si>
    <t xml:space="preserve">LUKS/encrypted volume</t>
  </si>
  <si>
    <t xml:space="preserve">PG-3.4</t>
  </si>
  <si>
    <t xml:space="preserve">CIS-3.11, CIS-3.6</t>
  </si>
  <si>
    <t xml:space="preserve">pgcrypto for sensitive data</t>
  </si>
  <si>
    <t xml:space="preserve">Gevoelige kolommen zijn versleuteld met pgcrypto.</t>
  </si>
  <si>
    <t xml:space="preserve">SELECT * FROM pg_extension WHERE extname = 'pgcrypto';</t>
  </si>
  <si>
    <t xml:space="preserve">pgcrypto installed</t>
  </si>
  <si>
    <t xml:space="preserve">4. Logging &amp; Auditing</t>
  </si>
  <si>
    <t xml:space="preserve">PG-4.1</t>
  </si>
  <si>
    <t xml:space="preserve">CIS-8.2, CIS-8.5</t>
  </si>
  <si>
    <t xml:space="preserve">Connection logging</t>
  </si>
  <si>
    <t xml:space="preserve">Alle connecties en disconnecties worden gelogd.</t>
  </si>
  <si>
    <t xml:space="preserve">SHOW log_connections; SHOW log_disconnections;</t>
  </si>
  <si>
    <t xml:space="preserve">Both on</t>
  </si>
  <si>
    <t xml:space="preserve">PG-4.2</t>
  </si>
  <si>
    <t xml:space="preserve">CIS-8.2</t>
  </si>
  <si>
    <t xml:space="preserve">Statement logging</t>
  </si>
  <si>
    <t xml:space="preserve">DDL statements worden gelogd.</t>
  </si>
  <si>
    <t xml:space="preserve">SHOW log_statement;</t>
  </si>
  <si>
    <t xml:space="preserve">ddl or all</t>
  </si>
  <si>
    <t xml:space="preserve">PG-4.3</t>
  </si>
  <si>
    <t xml:space="preserve">CIS-8.3, CIS-3.3</t>
  </si>
  <si>
    <t xml:space="preserve">Log file permissions</t>
  </si>
  <si>
    <t xml:space="preserve">Log bestanden hebben beperkte permissions.</t>
  </si>
  <si>
    <t xml:space="preserve">ls -la /var/log/postgresql/</t>
  </si>
  <si>
    <t xml:space="preserve">0600 permissions</t>
  </si>
  <si>
    <t xml:space="preserve">PG-4.4</t>
  </si>
  <si>
    <t xml:space="preserve">CIS-8.2, CIS-8.12</t>
  </si>
  <si>
    <t xml:space="preserve">pgAudit extension</t>
  </si>
  <si>
    <t xml:space="preserve">pgAudit is geïnstalleerd voor compliance logging.</t>
  </si>
  <si>
    <t xml:space="preserve">SELECT * FROM pg_extension WHERE extname = 'pgaudit';</t>
  </si>
  <si>
    <t xml:space="preserve">pgaudit installed</t>
  </si>
  <si>
    <t xml:space="preserve">5. Network Security</t>
  </si>
  <si>
    <t xml:space="preserve">PG-5.1</t>
  </si>
  <si>
    <t xml:space="preserve">CIS-12.1, CIS-4.4</t>
  </si>
  <si>
    <t xml:space="preserve">Bind to specific interface</t>
  </si>
  <si>
    <t xml:space="preserve">PostgreSQL luistert alleen op specifieke interfaces.</t>
  </si>
  <si>
    <t xml:space="preserve">SHOW listen_addresses;</t>
  </si>
  <si>
    <t xml:space="preserve">Specific IP, not *</t>
  </si>
  <si>
    <t xml:space="preserve">PG-5.2</t>
  </si>
  <si>
    <t xml:space="preserve">CIS-12.2, CIS-13.4</t>
  </si>
  <si>
    <t xml:space="preserve">Firewall rules</t>
  </si>
  <si>
    <t xml:space="preserve">Toegang tot port 5432 is beperkt via firewall.</t>
  </si>
  <si>
    <t xml:space="preserve">iptables -L -n | grep 5432</t>
  </si>
  <si>
    <t xml:space="preserve">Restricted access</t>
  </si>
  <si>
    <t xml:space="preserve">PG-5.3</t>
  </si>
  <si>
    <t xml:space="preserve">CIS-12.2, CIS-6.6</t>
  </si>
  <si>
    <t xml:space="preserve">pg_hba.conf IP restrictions</t>
  </si>
  <si>
    <t xml:space="preserve">Toegang is beperkt tot specifieke source IPs.</t>
  </si>
  <si>
    <t xml:space="preserve">Specific subnets</t>
  </si>
  <si>
    <t xml:space="preserve">6. Backup &amp; Recovery</t>
  </si>
  <si>
    <t xml:space="preserve">PG-6.1</t>
  </si>
  <si>
    <t xml:space="preserve">CIS-11.2, CIS-11.3</t>
  </si>
  <si>
    <t xml:space="preserve">Automated backups</t>
  </si>
  <si>
    <t xml:space="preserve">Automatische backups zijn geconfigureerd.</t>
  </si>
  <si>
    <t xml:space="preserve">SHOW archive_mode; crontab -l | grep pg_dump</t>
  </si>
  <si>
    <t xml:space="preserve">Backups scheduled</t>
  </si>
  <si>
    <t xml:space="preserve">PG-6.2</t>
  </si>
  <si>
    <t xml:space="preserve">CIS-11.3, CIS-3.11</t>
  </si>
  <si>
    <t xml:space="preserve">Backup encryption</t>
  </si>
  <si>
    <t xml:space="preserve">Backups worden versleuteld opgeslagen.</t>
  </si>
  <si>
    <t xml:space="preserve">file /backup/latest/*.backup</t>
  </si>
  <si>
    <t xml:space="preserve">Encrypted backup</t>
  </si>
  <si>
    <t xml:space="preserve">PG-6.3</t>
  </si>
  <si>
    <t xml:space="preserve">CIS-11.4</t>
  </si>
  <si>
    <t xml:space="preserve">Restore testing</t>
  </si>
  <si>
    <t xml:space="preserve">Backup restores worden periodiek getest.</t>
  </si>
  <si>
    <t xml:space="preserve">Review restore test documentation</t>
  </si>
  <si>
    <t xml:space="preserve">Monthly tests</t>
  </si>
  <si>
    <t xml:space="preserve">Metric</t>
  </si>
  <si>
    <t xml:space="preserve">Value</t>
  </si>
  <si>
    <t xml:space="preserve">Assessment: PostgreSQL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</si>
  <si>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</si>
  <si>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</si>
  <si>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</si>
  <si>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</si>
  <si>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</si>
  <si>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</si>
  <si>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</si>
  <si>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</si>
  <si>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</si>
  <si>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</si>
  <si>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</si>
  <si>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</si>
  <si>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</si>
  <si>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</si>
  <si>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</si>
  <si>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</si>
  <si>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</si>
  <si>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</si>
  <si>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</si>
  <si>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</si>
  <si>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</si>
  <si>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</si>
  <si>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</si>
  <si>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</si>
  <si>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</si>
  <si>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</si>
  <si>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</si>
  <si>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</si>
  <si>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</si>
  <si>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</si>
  <si>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</si>
  <si>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</si>
  <si>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</si>
  <si>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</si>
  <si>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</si>
  <si>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</si>
  <si>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</si>
  <si>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</si>
  <si>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</si>
  <si>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</si>
  <si>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</si>
  <si>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</si>
  <si>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</si>
  <si>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</si>
  <si>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</si>
  <si>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</si>
  <si>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</si>
  <si>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</si>
  <si>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</si>
  <si>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</si>
  <si>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</si>
  <si>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</si>
  <si>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</si>
  <si>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PostgreSQL</t>
  </si>
  <si>
    <t xml:space="preserve">benchmark: EXT-BM-PostgreSQL-v1.0</t>
  </si>
  <si>
    <t xml:space="preserve"># Scores</t>
  </si>
  <si>
    <t xml:space="preserve"># Tellingen</t>
  </si>
  <si>
    <t xml:space="preserve"># Assessment Result: PostgreSQL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</si>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</sst>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15" hidden="false" customHeight="false" outlineLevel="0" collapsed="false">
      <c r="A6" s="4" t="s">
        <v>79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customFormat="false" ht="60" hidden="false" customHeight="true" outlineLevel="0" collapsed="false">
      <c r="A7" s="5" t="s">
        <v>80</v>
      </c>
      <c r="B7" s="6" t="s">
        <v>60</v>
      </c>
      <c r="C7" s="6" t="s">
        <v>61</v>
      </c>
      <c r="D7" s="5" t="s">
        <v>81</v>
      </c>
      <c r="E7" s="5" t="s">
        <v>82</v>
      </c>
      <c r="F7" s="5" t="s">
        <v>83</v>
      </c>
      <c r="G7" s="5" t="s">
        <v>84</v>
      </c>
      <c r="H7" s="5" t="s">
        <v>85</v>
      </c>
      <c r="I7" s="7"/>
      <c r="J7" s="5"/>
      <c r="K7" s="5"/>
      <c r="L7" s="5"/>
    </row>
    <row r="8" customFormat="false" ht="60" hidden="false" customHeight="true" outlineLevel="0" collapsed="false">
      <c r="A8" s="5" t="s">
        <v>86</v>
      </c>
      <c r="B8" s="6" t="s">
        <v>60</v>
      </c>
      <c r="C8" s="6" t="s">
        <v>61</v>
      </c>
      <c r="D8" s="5" t="s">
        <v>87</v>
      </c>
      <c r="E8" s="5" t="s">
        <v>88</v>
      </c>
      <c r="F8" s="5" t="s">
        <v>89</v>
      </c>
      <c r="G8" s="5" t="s">
        <v>90</v>
      </c>
      <c r="H8" s="5" t="s">
        <v>91</v>
      </c>
      <c r="I8" s="7"/>
      <c r="J8" s="5"/>
      <c r="K8" s="5"/>
      <c r="L8" s="5"/>
    </row>
    <row r="9" customFormat="false" ht="60" hidden="false" customHeight="true" outlineLevel="0" collapsed="false">
      <c r="A9" s="5" t="s">
        <v>92</v>
      </c>
      <c r="B9" s="6" t="s">
        <v>60</v>
      </c>
      <c r="C9" s="6" t="s">
        <v>61</v>
      </c>
      <c r="D9" s="5" t="s">
        <v>93</v>
      </c>
      <c r="E9" s="5" t="s">
        <v>94</v>
      </c>
      <c r="F9" s="5" t="s">
        <v>95</v>
      </c>
      <c r="G9" s="5" t="s">
        <v>96</v>
      </c>
      <c r="H9" s="5" t="s">
        <v>97</v>
      </c>
      <c r="I9" s="7"/>
      <c r="J9" s="5"/>
      <c r="K9" s="5"/>
      <c r="L9" s="5"/>
    </row>
    <row r="10" customFormat="false" ht="60" hidden="false" customHeight="true" outlineLevel="0" collapsed="false">
      <c r="A10" s="8" t="s">
        <v>98</v>
      </c>
      <c r="B10" s="9" t="s">
        <v>99</v>
      </c>
      <c r="C10" s="9" t="s">
        <v>100</v>
      </c>
      <c r="D10" s="8" t="s">
        <v>101</v>
      </c>
      <c r="E10" s="8" t="s">
        <v>102</v>
      </c>
      <c r="F10" s="8" t="s">
        <v>103</v>
      </c>
      <c r="G10" s="8" t="s">
        <v>104</v>
      </c>
      <c r="H10" s="8" t="s">
        <v>105</v>
      </c>
      <c r="I10" s="10"/>
      <c r="J10" s="8"/>
      <c r="K10" s="8"/>
      <c r="L10" s="8"/>
    </row>
    <row r="11" customFormat="false" ht="15" hidden="false" customHeight="false" outlineLevel="0" collapsed="false">
      <c r="A11" s="4" t="s">
        <v>106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customFormat="false" ht="60" hidden="false" customHeight="true" outlineLevel="0" collapsed="false">
      <c r="A12" s="5" t="s">
        <v>107</v>
      </c>
      <c r="B12" s="6" t="s">
        <v>60</v>
      </c>
      <c r="C12" s="6" t="s">
        <v>61</v>
      </c>
      <c r="D12" s="5" t="s">
        <v>108</v>
      </c>
      <c r="E12" s="5" t="s">
        <v>109</v>
      </c>
      <c r="F12" s="5" t="s">
        <v>110</v>
      </c>
      <c r="G12" s="5" t="s">
        <v>111</v>
      </c>
      <c r="H12" s="5" t="s">
        <v>112</v>
      </c>
      <c r="I12" s="7"/>
      <c r="J12" s="5"/>
      <c r="K12" s="5"/>
      <c r="L12" s="5"/>
    </row>
    <row r="13" customFormat="false" ht="60" hidden="false" customHeight="true" outlineLevel="0" collapsed="false">
      <c r="A13" s="5" t="s">
        <v>113</v>
      </c>
      <c r="B13" s="6" t="s">
        <v>60</v>
      </c>
      <c r="C13" s="6" t="s">
        <v>61</v>
      </c>
      <c r="D13" s="5" t="s">
        <v>108</v>
      </c>
      <c r="E13" s="5" t="s">
        <v>114</v>
      </c>
      <c r="F13" s="5" t="s">
        <v>115</v>
      </c>
      <c r="G13" s="5" t="s">
        <v>116</v>
      </c>
      <c r="H13" s="5" t="s">
        <v>117</v>
      </c>
      <c r="I13" s="7"/>
      <c r="J13" s="5"/>
      <c r="K13" s="5"/>
      <c r="L13" s="5"/>
    </row>
    <row r="14" customFormat="false" ht="60" hidden="false" customHeight="true" outlineLevel="0" collapsed="false">
      <c r="A14" s="8" t="s">
        <v>118</v>
      </c>
      <c r="B14" s="9" t="s">
        <v>99</v>
      </c>
      <c r="C14" s="9" t="s">
        <v>100</v>
      </c>
      <c r="D14" s="8" t="s">
        <v>119</v>
      </c>
      <c r="E14" s="8" t="s">
        <v>120</v>
      </c>
      <c r="F14" s="8" t="s">
        <v>121</v>
      </c>
      <c r="G14" s="8" t="s">
        <v>122</v>
      </c>
      <c r="H14" s="8" t="s">
        <v>123</v>
      </c>
      <c r="I14" s="10"/>
      <c r="J14" s="8"/>
      <c r="K14" s="8"/>
      <c r="L14" s="8"/>
    </row>
    <row r="15" customFormat="false" ht="60" hidden="false" customHeight="true" outlineLevel="0" collapsed="false">
      <c r="A15" s="8" t="s">
        <v>124</v>
      </c>
      <c r="B15" s="9" t="s">
        <v>99</v>
      </c>
      <c r="C15" s="9" t="s">
        <v>100</v>
      </c>
      <c r="D15" s="8" t="s">
        <v>125</v>
      </c>
      <c r="E15" s="8" t="s">
        <v>126</v>
      </c>
      <c r="F15" s="8" t="s">
        <v>127</v>
      </c>
      <c r="G15" s="8" t="s">
        <v>128</v>
      </c>
      <c r="H15" s="8" t="s">
        <v>129</v>
      </c>
      <c r="I15" s="10"/>
      <c r="J15" s="8"/>
      <c r="K15" s="8"/>
      <c r="L15" s="8"/>
    </row>
    <row r="16" customFormat="false" ht="15" hidden="false" customHeight="false" outlineLevel="0" collapsed="false">
      <c r="A16" s="4" t="s">
        <v>130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customFormat="false" ht="60" hidden="false" customHeight="true" outlineLevel="0" collapsed="false">
      <c r="A17" s="5" t="s">
        <v>131</v>
      </c>
      <c r="B17" s="6" t="s">
        <v>60</v>
      </c>
      <c r="C17" s="6" t="s">
        <v>61</v>
      </c>
      <c r="D17" s="5" t="s">
        <v>132</v>
      </c>
      <c r="E17" s="5" t="s">
        <v>133</v>
      </c>
      <c r="F17" s="5" t="s">
        <v>134</v>
      </c>
      <c r="G17" s="5" t="s">
        <v>135</v>
      </c>
      <c r="H17" s="5" t="s">
        <v>136</v>
      </c>
      <c r="I17" s="7"/>
      <c r="J17" s="5"/>
      <c r="K17" s="5"/>
      <c r="L17" s="5"/>
    </row>
    <row r="18" customFormat="false" ht="60" hidden="false" customHeight="true" outlineLevel="0" collapsed="false">
      <c r="A18" s="5" t="s">
        <v>137</v>
      </c>
      <c r="B18" s="6" t="s">
        <v>60</v>
      </c>
      <c r="C18" s="6" t="s">
        <v>61</v>
      </c>
      <c r="D18" s="5" t="s">
        <v>138</v>
      </c>
      <c r="E18" s="5" t="s">
        <v>139</v>
      </c>
      <c r="F18" s="5" t="s">
        <v>140</v>
      </c>
      <c r="G18" s="5" t="s">
        <v>141</v>
      </c>
      <c r="H18" s="5" t="s">
        <v>142</v>
      </c>
      <c r="I18" s="7"/>
      <c r="J18" s="5"/>
      <c r="K18" s="5"/>
      <c r="L18" s="5"/>
    </row>
    <row r="19" customFormat="false" ht="60" hidden="false" customHeight="true" outlineLevel="0" collapsed="false">
      <c r="A19" s="5" t="s">
        <v>143</v>
      </c>
      <c r="B19" s="6" t="s">
        <v>60</v>
      </c>
      <c r="C19" s="6" t="s">
        <v>61</v>
      </c>
      <c r="D19" s="5" t="s">
        <v>144</v>
      </c>
      <c r="E19" s="5" t="s">
        <v>145</v>
      </c>
      <c r="F19" s="5" t="s">
        <v>146</v>
      </c>
      <c r="G19" s="5" t="s">
        <v>147</v>
      </c>
      <c r="H19" s="5" t="s">
        <v>148</v>
      </c>
      <c r="I19" s="7"/>
      <c r="J19" s="5"/>
      <c r="K19" s="5"/>
      <c r="L19" s="5"/>
    </row>
    <row r="20" customFormat="false" ht="60" hidden="false" customHeight="true" outlineLevel="0" collapsed="false">
      <c r="A20" s="8" t="s">
        <v>149</v>
      </c>
      <c r="B20" s="9" t="s">
        <v>99</v>
      </c>
      <c r="C20" s="9" t="s">
        <v>100</v>
      </c>
      <c r="D20" s="8" t="s">
        <v>150</v>
      </c>
      <c r="E20" s="8" t="s">
        <v>151</v>
      </c>
      <c r="F20" s="8" t="s">
        <v>152</v>
      </c>
      <c r="G20" s="8" t="s">
        <v>153</v>
      </c>
      <c r="H20" s="8" t="s">
        <v>154</v>
      </c>
      <c r="I20" s="10"/>
      <c r="J20" s="8"/>
      <c r="K20" s="8"/>
      <c r="L20" s="8"/>
    </row>
    <row r="21" customFormat="false" ht="15" hidden="false" customHeight="false" outlineLevel="0" collapsed="false">
      <c r="A21" s="4" t="s">
        <v>155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customFormat="false" ht="60" hidden="false" customHeight="true" outlineLevel="0" collapsed="false">
      <c r="A22" s="5" t="s">
        <v>156</v>
      </c>
      <c r="B22" s="6" t="s">
        <v>60</v>
      </c>
      <c r="C22" s="6" t="s">
        <v>61</v>
      </c>
      <c r="D22" s="5" t="s">
        <v>157</v>
      </c>
      <c r="E22" s="5" t="s">
        <v>158</v>
      </c>
      <c r="F22" s="5" t="s">
        <v>159</v>
      </c>
      <c r="G22" s="5" t="s">
        <v>160</v>
      </c>
      <c r="H22" s="5" t="s">
        <v>161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162</v>
      </c>
      <c r="B23" s="6" t="s">
        <v>60</v>
      </c>
      <c r="C23" s="6" t="s">
        <v>61</v>
      </c>
      <c r="D23" s="5" t="s">
        <v>163</v>
      </c>
      <c r="E23" s="5" t="s">
        <v>164</v>
      </c>
      <c r="F23" s="5" t="s">
        <v>165</v>
      </c>
      <c r="G23" s="5" t="s">
        <v>166</v>
      </c>
      <c r="H23" s="5" t="s">
        <v>167</v>
      </c>
      <c r="I23" s="7"/>
      <c r="J23" s="5"/>
      <c r="K23" s="5"/>
      <c r="L23" s="5"/>
    </row>
    <row r="24" customFormat="false" ht="60" hidden="false" customHeight="true" outlineLevel="0" collapsed="false">
      <c r="A24" s="5" t="s">
        <v>168</v>
      </c>
      <c r="B24" s="6" t="s">
        <v>60</v>
      </c>
      <c r="C24" s="6" t="s">
        <v>61</v>
      </c>
      <c r="D24" s="5" t="s">
        <v>169</v>
      </c>
      <c r="E24" s="5" t="s">
        <v>170</v>
      </c>
      <c r="F24" s="5" t="s">
        <v>171</v>
      </c>
      <c r="G24" s="5" t="s">
        <v>65</v>
      </c>
      <c r="H24" s="5" t="s">
        <v>172</v>
      </c>
      <c r="I24" s="7"/>
      <c r="J24" s="5"/>
      <c r="K24" s="5"/>
      <c r="L24" s="5"/>
    </row>
    <row r="25" customFormat="false" ht="15" hidden="false" customHeight="false" outlineLevel="0" collapsed="false">
      <c r="A25" s="4" t="s">
        <v>173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customFormat="false" ht="60" hidden="false" customHeight="true" outlineLevel="0" collapsed="false">
      <c r="A26" s="5" t="s">
        <v>174</v>
      </c>
      <c r="B26" s="6" t="s">
        <v>60</v>
      </c>
      <c r="C26" s="6" t="s">
        <v>61</v>
      </c>
      <c r="D26" s="5" t="s">
        <v>175</v>
      </c>
      <c r="E26" s="5" t="s">
        <v>176</v>
      </c>
      <c r="F26" s="5" t="s">
        <v>177</v>
      </c>
      <c r="G26" s="5" t="s">
        <v>178</v>
      </c>
      <c r="H26" s="5" t="s">
        <v>179</v>
      </c>
      <c r="I26" s="7"/>
      <c r="J26" s="5"/>
      <c r="K26" s="5"/>
      <c r="L26" s="5"/>
    </row>
    <row r="27" customFormat="false" ht="60" hidden="false" customHeight="true" outlineLevel="0" collapsed="false">
      <c r="A27" s="5" t="s">
        <v>180</v>
      </c>
      <c r="B27" s="6" t="s">
        <v>60</v>
      </c>
      <c r="C27" s="6" t="s">
        <v>61</v>
      </c>
      <c r="D27" s="5" t="s">
        <v>181</v>
      </c>
      <c r="E27" s="5" t="s">
        <v>182</v>
      </c>
      <c r="F27" s="5" t="s">
        <v>183</v>
      </c>
      <c r="G27" s="5" t="s">
        <v>184</v>
      </c>
      <c r="H27" s="5" t="s">
        <v>185</v>
      </c>
      <c r="I27" s="7"/>
      <c r="J27" s="5"/>
      <c r="K27" s="5"/>
      <c r="L27" s="5"/>
    </row>
    <row r="28" customFormat="false" ht="60" hidden="false" customHeight="true" outlineLevel="0" collapsed="false">
      <c r="A28" s="8" t="s">
        <v>186</v>
      </c>
      <c r="B28" s="9" t="s">
        <v>99</v>
      </c>
      <c r="C28" s="9" t="s">
        <v>100</v>
      </c>
      <c r="D28" s="8" t="s">
        <v>187</v>
      </c>
      <c r="E28" s="8" t="s">
        <v>188</v>
      </c>
      <c r="F28" s="8" t="s">
        <v>189</v>
      </c>
      <c r="G28" s="8" t="s">
        <v>190</v>
      </c>
      <c r="H28" s="8" t="s">
        <v>191</v>
      </c>
      <c r="I28" s="10"/>
      <c r="J28" s="8"/>
      <c r="K28" s="8"/>
      <c r="L28" s="8"/>
    </row>
  </sheetData>
  <mergeCells count="6">
    <mergeCell ref="A2:L2"/>
    <mergeCell ref="A6:L6"/>
    <mergeCell ref="A11:L11"/>
    <mergeCell ref="A16:L16"/>
    <mergeCell ref="A21:L21"/>
    <mergeCell ref="A25:L25"/>
  </mergeCells>
  <dataValidations count="2">
    <dataValidation allowBlank="true" error="Kies een geldige status" errorStyle="stop" operator="between" showDropDown="false" showErrorMessage="false" showInputMessage="false" sqref="I3:I5 I7:I10 I12:I15 I17:I20 I22:I24 I26:I28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5 C7:C10 C12:C15 C17:C20 C22:C24 C26:C28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192</v>
      </c>
      <c r="B1" s="11" t="s">
        <v>193</v>
      </c>
    </row>
    <row r="2" customFormat="false" ht="15" hidden="false" customHeight="false" outlineLevel="0" collapsed="false">
      <c r="A2" s="12" t="s">
        <v>194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195</v>
      </c>
      <c r="B4" s="12"/>
    </row>
    <row r="5" customFormat="false" ht="15" hidden="false" customHeight="false" outlineLevel="0" collapsed="false">
      <c r="A5" s="12" t="s">
        <v>196</v>
      </c>
      <c r="B5" s="12" t="n">
        <v>16</v>
      </c>
    </row>
    <row r="6" customFormat="false" ht="15" hidden="false" customHeight="false" outlineLevel="0" collapsed="false">
      <c r="A6" s="12" t="s">
        <v>197</v>
      </c>
      <c r="B6" s="12" t="n">
        <v>5</v>
      </c>
    </row>
    <row r="7" customFormat="false" ht="15" hidden="false" customHeight="false" outlineLevel="0" collapsed="false">
      <c r="A7" s="12" t="s">
        <v>198</v>
      </c>
      <c r="B7" s="12" t="n">
        <v>21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199</v>
      </c>
      <c r="B9" s="12"/>
    </row>
    <row r="10" customFormat="false" ht="15" hidden="false" customHeight="false" outlineLevel="0" collapsed="false">
      <c r="A10" s="12" t="s">
        <v>200</v>
      </c>
      <c r="B10" s="12" t="n">
        <v>16</v>
      </c>
    </row>
    <row r="11" customFormat="false" ht="15" hidden="false" customHeight="false" outlineLevel="0" collapsed="false">
      <c r="A11" s="12" t="s">
        <v>201</v>
      </c>
      <c r="B11" s="12" t="n">
        <f aca="false">COUNTIF(Assessment!C:C,"Ja")</f>
        <v>16</v>
      </c>
    </row>
    <row r="12" customFormat="false" ht="15" hidden="false" customHeight="false" outlineLevel="0" collapsed="false">
      <c r="A12" s="12" t="s">
        <v>202</v>
      </c>
      <c r="B12" s="12" t="n">
        <f aca="false">COUNTIF(Assessment!C:C,"Nee")</f>
        <v>5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203</v>
      </c>
      <c r="B14" s="12"/>
    </row>
    <row r="15" customFormat="false" ht="15" hidden="false" customHeight="false" outlineLevel="0" collapsed="false">
      <c r="A15" s="12" t="s">
        <v>204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205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206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207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208</v>
      </c>
      <c r="B20" s="12"/>
    </row>
    <row r="21" customFormat="false" ht="15" hidden="false" customHeight="false" outlineLevel="0" collapsed="false">
      <c r="A21" s="12" t="s">
        <v>209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210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211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212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213</v>
      </c>
      <c r="B26" s="12"/>
    </row>
    <row r="27" customFormat="false" ht="15" hidden="false" customHeight="false" outlineLevel="0" collapsed="false">
      <c r="A27" s="12" t="s">
        <v>214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215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216</v>
      </c>
      <c r="B30" s="12"/>
    </row>
    <row r="31" customFormat="false" ht="15" hidden="false" customHeight="false" outlineLevel="0" collapsed="false">
      <c r="A31" s="12" t="s">
        <v>217</v>
      </c>
      <c r="B31" s="12" t="s">
        <v>218</v>
      </c>
    </row>
    <row r="32" customFormat="false" ht="15" hidden="false" customHeight="false" outlineLevel="0" collapsed="false">
      <c r="A32" s="12" t="s">
        <v>219</v>
      </c>
      <c r="B32" s="12" t="s">
        <v>220</v>
      </c>
    </row>
    <row r="33" customFormat="false" ht="15" hidden="false" customHeight="false" outlineLevel="0" collapsed="false">
      <c r="A33" s="12" t="s">
        <v>221</v>
      </c>
      <c r="B33" s="12" t="s">
        <v>222</v>
      </c>
    </row>
    <row r="34" customFormat="false" ht="15" hidden="false" customHeight="false" outlineLevel="0" collapsed="false">
      <c r="A34" s="12" t="s">
        <v>223</v>
      </c>
      <c r="B34" s="12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225</v>
      </c>
      <c r="B1" s="15"/>
      <c r="C1" s="15"/>
    </row>
    <row r="3" customFormat="false" ht="15" hidden="false" customHeight="false" outlineLevel="0" collapsed="false">
      <c r="A3" s="16" t="s">
        <v>226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227</v>
      </c>
      <c r="B6" s="17" t="s">
        <v>228</v>
      </c>
    </row>
    <row r="7" customFormat="false" ht="15" hidden="false" customHeight="false" outlineLevel="0" collapsed="false">
      <c r="A7" s="0" t="s">
        <v>229</v>
      </c>
      <c r="B7" s="17" t="s">
        <v>230</v>
      </c>
    </row>
    <row r="8" customFormat="false" ht="15" hidden="false" customHeight="false" outlineLevel="0" collapsed="false">
      <c r="A8" s="0" t="s">
        <v>231</v>
      </c>
      <c r="B8" s="17" t="s">
        <v>232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233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234</v>
      </c>
    </row>
    <row r="15" customFormat="false" ht="15" hidden="false" customHeight="false" outlineLevel="0" collapsed="false">
      <c r="A15" s="0" t="s">
        <v>235</v>
      </c>
    </row>
    <row r="16" customFormat="false" ht="15" hidden="false" customHeight="false" outlineLevel="0" collapsed="false">
      <c r="A16" s="0" t="s">
        <v>236</v>
      </c>
    </row>
    <row r="17" customFormat="false" ht="15" hidden="false" customHeight="false" outlineLevel="0" collapsed="false">
      <c r="A17" s="0" t="s">
        <v>237</v>
      </c>
    </row>
    <row r="18" customFormat="false" ht="15" hidden="false" customHeight="false" outlineLevel="0" collapsed="false">
      <c r="A18" s="0" t="s">
        <v>238</v>
      </c>
    </row>
    <row r="19" customFormat="false" ht="15" hidden="false" customHeight="false" outlineLevel="0" collapsed="false">
      <c r="A19" s="0" t="s">
        <v>239</v>
      </c>
    </row>
    <row r="20" customFormat="false" ht="15" hidden="false" customHeight="false" outlineLevel="0" collapsed="false">
      <c r="A20" s="0" t="s">
        <v>240</v>
      </c>
    </row>
    <row r="21" customFormat="false" ht="15" hidden="false" customHeight="false" outlineLevel="0" collapsed="false">
      <c r="A21" s="0" t="s">
        <v>241</v>
      </c>
    </row>
    <row r="23" customFormat="false" ht="15" hidden="false" customHeight="false" outlineLevel="0" collapsed="false">
      <c r="A23" s="19" t="s">
        <v>242</v>
      </c>
    </row>
    <row r="25" customFormat="false" ht="15" hidden="false" customHeight="false" outlineLevel="0" collapsed="false">
      <c r="A25" s="16" t="s">
        <v>243</v>
      </c>
    </row>
    <row r="26" customFormat="false" ht="15" hidden="false" customHeight="false" outlineLevel="0" collapsed="false">
      <c r="A26" s="0" t="s">
        <v>244</v>
      </c>
    </row>
    <row r="28" customFormat="false" ht="15" hidden="false" customHeight="false" outlineLevel="0" collapsed="false">
      <c r="A28" s="16" t="s">
        <v>245</v>
      </c>
    </row>
    <row r="29" customFormat="false" ht="15" hidden="false" customHeight="false" outlineLevel="0" collapsed="false">
      <c r="A29" s="0" t="s">
        <v>246</v>
      </c>
    </row>
    <row r="30" customFormat="false" ht="15" hidden="false" customHeight="false" outlineLevel="0" collapsed="false">
      <c r="A30" s="0" t="s">
        <v>247</v>
      </c>
    </row>
    <row r="31" customFormat="false" ht="15" hidden="false" customHeight="false" outlineLevel="0" collapsed="false">
      <c r="A31" s="0" t="s">
        <v>248</v>
      </c>
    </row>
    <row r="32" customFormat="false" ht="15" hidden="false" customHeight="false" outlineLevel="0" collapsed="false">
      <c r="A32" s="0" t="s">
        <v>249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07:51:48"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250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251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5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16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246</v>
      </c>
    </row>
    <row r="59" customFormat="false" ht="15" hidden="false" customHeight="false" outlineLevel="0" collapsed="false">
      <c r="A59" s="0" t="s">
        <v>252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07:51:48</v>
      </c>
    </row>
    <row r="63" customFormat="false" ht="15" hidden="false" customHeight="false" outlineLevel="0" collapsed="false">
      <c r="A63" s="0" t="s">
        <v>253</v>
      </c>
    </row>
    <row r="65" customFormat="false" ht="15" hidden="false" customHeight="false" outlineLevel="0" collapsed="false">
      <c r="A65" s="0" t="s">
        <v>254</v>
      </c>
    </row>
    <row r="66" customFormat="false" ht="15" hidden="false" customHeight="false" outlineLevel="0" collapsed="false">
      <c r="A66" s="0" t="s">
        <v>255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256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