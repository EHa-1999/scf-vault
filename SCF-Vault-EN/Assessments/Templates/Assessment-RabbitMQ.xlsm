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kste\Downloads\"/>
    </mc:Choice>
  </mc:AlternateContent>
  <xr:revisionPtr revIDLastSave="0" documentId="13_ncr:1_{EC303631-E606-4720-8DED-6EEDFA47FDD6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Instructions" sheetId="1" r:id="rId1"/>
    <sheet name="Assessment" sheetId="2" r:id="rId2"/>
    <sheet name="Summary Dashboard" sheetId="3" r:id="rId3"/>
    <sheet name="Ex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1" i="4" l="1"/>
  <c r="A53" i="4"/>
  <c r="A48" i="4"/>
  <c r="A46" i="4"/>
  <c r="A45" i="4"/>
  <c r="A38" i="4"/>
  <c r="A37" i="4"/>
  <c r="A36" i="4"/>
  <c r="A35" i="4"/>
  <c r="A34" i="4"/>
  <c r="A33" i="4"/>
  <c r="B24" i="3"/>
  <c r="B23" i="3"/>
  <c r="A56" i="4" s="1"/>
  <c r="B22" i="3"/>
  <c r="A55" i="4" s="1"/>
  <c r="B21" i="3"/>
  <c r="B18" i="3"/>
  <c r="B17" i="3"/>
  <c r="A51" i="4" s="1"/>
  <c r="B16" i="3"/>
  <c r="A50" i="4" s="1"/>
  <c r="B15" i="3"/>
  <c r="A49" i="4" s="1"/>
  <c r="B12" i="3"/>
  <c r="B11" i="3"/>
  <c r="B28" i="3" l="1"/>
  <c r="A67" i="4" s="1"/>
  <c r="B27" i="3"/>
  <c r="A54" i="4"/>
  <c r="A42" i="4" l="1"/>
  <c r="A41" i="4"/>
  <c r="A68" i="4"/>
</calcChain>
</file>

<file path=xl/sharedStrings.xml><?xml version="1.0" encoding="utf-8"?>
<sst xmlns="http://schemas.openxmlformats.org/spreadsheetml/2006/main" count="284" uniqueCount="242">
  <si>
    <t xml:space="preserve">SECURITY SELF-ASSESSMENT: RabbitMQ</t>
  </si>
  <si>
    <t xml:space="preserve">Benchmark: EXT-BM-RabbitMQ v1.0</t>
  </si>
  <si>
    <t xml:space="preserve">Versie: 3.12+</t>
  </si>
  <si>
    <t xml:space="preserve">Bron: rabbitmq.com/docs/security</t>
  </si>
  <si>
    <t xml:space="preserve">RabbitMQ is een open-source message broker die AMQP implementeert. Deze benchmark bevat security hardening maatregelen voor productie-omgevingen.</t>
  </si>
  <si>
    <t xml:space="preserve">INSTRUCTIES</t>
  </si>
  <si>
    <t xml:space="preserve">1. Ga naar het tabblad 'Assessment'</t>
  </si>
  <si>
    <t xml:space="preserve">2. Review elke maatregel en de beschrijving</t>
  </si>
  <si>
    <t xml:space="preserve">3. Controleer de BASELINE kolom - deze is vooraf ingevuld maar aanpasbaar</t>
  </si>
  <si>
    <t xml:space="preserve">4. Voer de Audit Procedure uit om de huidige status te bepalen</t>
  </si>
  <si>
    <t xml:space="preserve">5. Vul de STATUS in via de dropdown:</t>
  </si>
  <si>
    <t xml:space="preserve">   • Compliant: Volledig geïmplementeerd en geverifieerd</t>
  </si>
  <si>
    <t xml:space="preserve">   • Partial: Gedeeltelijk geïmplementeerd</t>
  </si>
  <si>
    <t xml:space="preserve">   • Non-Compliant: Niet geïmplementeerd</t>
  </si>
  <si>
    <t xml:space="preserve">   • N/A: Niet van toepassing op deze omgeving</t>
  </si>
  <si>
    <t xml:space="preserve">6. Documenteer EVIDENCE (bestandslocatie, screenshot, ticket)</t>
  </si>
  <si>
    <t xml:space="preserve">7. Voeg relevante OPMERKINGEN toe</t>
  </si>
  <si>
    <t xml:space="preserve">8. Wijs een VERANTWOORDELIJKE toe</t>
  </si>
  <si>
    <t xml:space="preserve">9. Het Summary Dashboard toont zowel totaal- als baseline-compliance</t>
  </si>
  <si>
    <t xml:space="preserve">10. Gebruik de EXPORT knop om resultaten naar de Vault te exporteren</t>
  </si>
  <si>
    <t xml:space="preserve">LEVELS (CIS Benchmark Standaard)</t>
  </si>
  <si>
    <t xml:space="preserve">L1 = Level 1 - Basis beveiliging, minimale impact op functionaliteit</t>
  </si>
  <si>
    <t xml:space="preserve">L2 = Level 2 - Verhoogde beveiliging, kan functionaliteit beperken</t>
  </si>
  <si>
    <t xml:space="preserve">BASELINE SYSTEMATIEK</t>
  </si>
  <si>
    <t xml:space="preserve">De Baseline is berekend op basis van:</t>
  </si>
  <si>
    <t xml:space="preserve">• Level van de maatregel (L1 of L2)</t>
  </si>
  <si>
    <t xml:space="preserve">• Baseline status van de gekoppelde CIS Control(s)</t>
  </si>
  <si>
    <t xml:space="preserve">Baseline = Ja alleen als:</t>
  </si>
  <si>
    <t xml:space="preserve">  1. Level = L1 (basis), EN</t>
  </si>
  <si>
    <t xml:space="preserve">  2. Minstens één gekoppelde CIS Control is baseline</t>
  </si>
  <si>
    <t xml:space="preserve">De Baseline kolom is aanpasbaar per organisatie:</t>
  </si>
  <si>
    <t xml:space="preserve">• L2 → Baseline Ja: Verhogen indien risicoprofiel dit vereist</t>
  </si>
  <si>
    <t xml:space="preserve">• L1 → Baseline Nee: Alleen met risicoanalyse en compenserende maatregelen</t>
  </si>
  <si>
    <t xml:space="preserve">EXPORT NAAR VAULT</t>
  </si>
  <si>
    <t xml:space="preserve">Na het invullen van de assessment:</t>
  </si>
  <si>
    <t xml:space="preserve">1. Ga naar het tabblad 'Export'</t>
  </si>
  <si>
    <t xml:space="preserve">2. Vul de metadata in (assessor, systeem, omgeving)</t>
  </si>
  <si>
    <t xml:space="preserve">3. Klik op de 'Exporteer naar Vault' knop</t>
  </si>
  <si>
    <t xml:space="preserve">4. Kies een locatie in de Assessments/Results/ folder</t>
  </si>
  <si>
    <t xml:space="preserve">5. Het gegenereerde .md bestand is direct bruikbaar in Obsidian</t>
  </si>
  <si>
    <t xml:space="preserve">ASSESSMENT INFORMATIE</t>
  </si>
  <si>
    <t xml:space="preserve">Datum assessment:</t>
  </si>
  <si>
    <t xml:space="preserve">Assessor:</t>
  </si>
  <si>
    <t xml:space="preserve">Systeem/Omgeving:</t>
  </si>
  <si>
    <t xml:space="preserve">Goedgekeurd door:</t>
  </si>
  <si>
    <t xml:space="preserve">Goedkeuringsdatum:</t>
  </si>
  <si>
    <t xml:space="preserve">ID</t>
  </si>
  <si>
    <t xml:space="preserve">Level</t>
  </si>
  <si>
    <t xml:space="preserve">Baseline</t>
  </si>
  <si>
    <t xml:space="preserve">CIS Controls</t>
  </si>
  <si>
    <t xml:space="preserve">Control Title</t>
  </si>
  <si>
    <t xml:space="preserve">Control Description</t>
  </si>
  <si>
    <t xml:space="preserve">Audit Procedure</t>
  </si>
  <si>
    <t xml:space="preserve">Expected Config</t>
  </si>
  <si>
    <t xml:space="preserve">Status</t>
  </si>
  <si>
    <t xml:space="preserve">Evidence Location</t>
  </si>
  <si>
    <t xml:space="preserve">Comments</t>
  </si>
  <si>
    <t xml:space="preserve">Responsible Party</t>
  </si>
  <si>
    <t xml:space="preserve">1. Authentication</t>
  </si>
  <si>
    <t xml:space="preserve">RMQ-1.1</t>
  </si>
  <si>
    <t xml:space="preserve">L1</t>
  </si>
  <si>
    <t xml:space="preserve">Ja</t>
  </si>
  <si>
    <t xml:space="preserve">CIS-5.1, CIS-5.4</t>
  </si>
  <si>
    <t xml:space="preserve">Default guest account uitgeschakeld</t>
  </si>
  <si>
    <t xml:space="preserve">De standaard guest account mag alleen lokaal (localhost) inloggen. Voor productie moet guest volledig worden uitgeschakeld of het wachtwoord gewijzigd.</t>
  </si>
  <si>
    <t xml:space="preserve">rabbitmqctl list_users | grep guest
rabbitmqctl list_user_permissions guest</t>
  </si>
  <si>
    <t xml:space="preserve">guest account verwijderd of permissions leeg</t>
  </si>
  <si>
    <t xml:space="preserve">RMQ-1.2</t>
  </si>
  <si>
    <t xml:space="preserve">CIS-5.2</t>
  </si>
  <si>
    <t xml:space="preserve">Sterke wachtwoorden afgedwongen</t>
  </si>
  <si>
    <t xml:space="preserve">Alle gebruikersaccounts hebben sterke wachtwoorden (minimaal 16 tekens, complexiteit).</t>
  </si>
  <si>
    <t xml:space="preserve">rabbitmqctl list_users
curl -u admin:password http://localhost:15672/api/users</t>
  </si>
  <si>
    <t xml:space="preserve">RMQ-1.3</t>
  </si>
  <si>
    <t xml:space="preserve">L2</t>
  </si>
  <si>
    <t xml:space="preserve">Nee</t>
  </si>
  <si>
    <t xml:space="preserve">CIS-5.6, CIS-6.7</t>
  </si>
  <si>
    <t xml:space="preserve">External authentication backend</t>
  </si>
  <si>
    <t xml:space="preserve">Voor enterprise omgevingen: gebruik externe authenticatie (LDAP, OAuth 2.0) in plaats van interne database.</t>
  </si>
  <si>
    <t xml:space="preserve">grep -i "auth_backends" /etc/rabbitmq/rabbitmq.conf</t>
  </si>
  <si>
    <t xml:space="preserve">auth_backends.1 = rabbit_auth_backend_ldap</t>
  </si>
  <si>
    <t xml:space="preserve">2. Authorization</t>
  </si>
  <si>
    <t xml:space="preserve">RMQ-2.1</t>
  </si>
  <si>
    <t xml:space="preserve">CIS-3.12, CIS-6.8</t>
  </si>
  <si>
    <t xml:space="preserve">Virtual hosts voor isolatie</t>
  </si>
  <si>
    <t xml:space="preserve">Gebruik aparte virtual hosts per applicatie/omgeving voor isolatie. Gebruik niet alleen de default / vhost.</t>
  </si>
  <si>
    <t xml:space="preserve">rabbitmqctl list_vhosts</t>
  </si>
  <si>
    <t xml:space="preserve">Meerdere vhosts aanwezig</t>
  </si>
  <si>
    <t xml:space="preserve">RMQ-2.2</t>
  </si>
  <si>
    <t xml:space="preserve">CIS-6.6, CIS-6.8</t>
  </si>
  <si>
    <t xml:space="preserve">Least privilege permissions</t>
  </si>
  <si>
    <t xml:space="preserve">Gebruikers hebben alleen de minimaal benodigde permissions (configure/write/read) per vhost.</t>
  </si>
  <si>
    <t xml:space="preserve">rabbitmqctl list_user_permissions &lt;username&gt;
rabbitmqctl list_permissions -p &lt;vhost&gt;</t>
  </si>
  <si>
    <t xml:space="preserve">RMQ-2.3</t>
  </si>
  <si>
    <t xml:space="preserve">CIS-6.6</t>
  </si>
  <si>
    <t xml:space="preserve">Topic-level authorization</t>
  </si>
  <si>
    <t xml:space="preserve">Voor topic exchanges: configureer topic-level authorization om berichten te filteren per routing key.</t>
  </si>
  <si>
    <t xml:space="preserve">rabbitmqctl list_topic_permissions</t>
  </si>
  <si>
    <t xml:space="preserve">3. Transport Security (TLS)</t>
  </si>
  <si>
    <t xml:space="preserve">RMQ-3.1</t>
  </si>
  <si>
    <t xml:space="preserve">CIS-3.10</t>
  </si>
  <si>
    <t xml:space="preserve">TLS enabled voor AMQP</t>
  </si>
  <si>
    <t xml:space="preserve">Alle AMQP connecties gebruiken TLS (poort 5671 in plaats van 5672).</t>
  </si>
  <si>
    <t xml:space="preserve">rabbitmqctl list_listeners
grep -i "ssl" /etc/rabbitmq/rabbitmq.conf</t>
  </si>
  <si>
    <t xml:space="preserve">listeners.ssl.default = 5671</t>
  </si>
  <si>
    <t xml:space="preserve">RMQ-3.2</t>
  </si>
  <si>
    <t xml:space="preserve">Disable non-TLS listeners</t>
  </si>
  <si>
    <t xml:space="preserve">Onversleutelde listeners (poort 5672) zijn uitgeschakeld in productie.</t>
  </si>
  <si>
    <t xml:space="preserve">rabbitmqctl list_listeners | grep 5672</t>
  </si>
  <si>
    <t xml:space="preserve">listeners.tcp = none</t>
  </si>
  <si>
    <t xml:space="preserve">RMQ-3.3</t>
  </si>
  <si>
    <t xml:space="preserve">Strong cipher suites</t>
  </si>
  <si>
    <t xml:space="preserve">Alleen sterke cipher suites zijn toegestaan (TLS 1.2+, geen RC4, DES, MD5).</t>
  </si>
  <si>
    <t xml:space="preserve">grep -i "versions" /etc/rabbitmq/rabbitmq.conf
openssl s_client -connect localhost:5671 -tls1_2</t>
  </si>
  <si>
    <t xml:space="preserve">ssl_options.versions.1 = tlsv1.3</t>
  </si>
  <si>
    <t xml:space="preserve">RMQ-3.4</t>
  </si>
  <si>
    <t xml:space="preserve">CIS-3.10, CIS-12.6</t>
  </si>
  <si>
    <t xml:space="preserve">Inter-node TLS (clustering)</t>
  </si>
  <si>
    <t xml:space="preserve">Bij clustering: Erlang distribution gebruikt TLS voor inter-node communicatie.</t>
  </si>
  <si>
    <t xml:space="preserve">epmd -names
grep -i "ssl_dist" /etc/rabbitmq/advanced.config</t>
  </si>
  <si>
    <t xml:space="preserve">4. Management Interface</t>
  </si>
  <si>
    <t xml:space="preserve">RMQ-4.1</t>
  </si>
  <si>
    <t xml:space="preserve">CIS-3.10, CIS-4.2</t>
  </si>
  <si>
    <t xml:space="preserve">Management UI via HTTPS</t>
  </si>
  <si>
    <t xml:space="preserve">De management interface (poort 15672) is alleen toegankelijk via HTTPS (15671).</t>
  </si>
  <si>
    <t xml:space="preserve">rabbitmqctl list_listeners | grep 1567
curl -k https://localhost:15671/api/overview</t>
  </si>
  <si>
    <t xml:space="preserve">management.ssl.port = 15671</t>
  </si>
  <si>
    <t xml:space="preserve">RMQ-4.2</t>
  </si>
  <si>
    <t xml:space="preserve">CIS-5.4, CIS-6.5</t>
  </si>
  <si>
    <t xml:space="preserve">Management access beperkt</t>
  </si>
  <si>
    <t xml:space="preserve">Alleen administrators hebben toegang tot de management interface. Applicatie-accounts hebben geen management tags.</t>
  </si>
  <si>
    <t xml:space="preserve">rabbitmqctl list_users | grep administrator</t>
  </si>
  <si>
    <t xml:space="preserve">RMQ-4.3</t>
  </si>
  <si>
    <t xml:space="preserve">CIS-4.1</t>
  </si>
  <si>
    <t xml:space="preserve">Rate limiting op API</t>
  </si>
  <si>
    <t xml:space="preserve">De management API heeft rate limiting om brute force en DoS te voorkomen.</t>
  </si>
  <si>
    <t xml:space="preserve">grep "rates_mode" /etc/rabbitmq/rabbitmq.conf</t>
  </si>
  <si>
    <t xml:space="preserve">management.rates_mode = basic</t>
  </si>
  <si>
    <t xml:space="preserve">5. Network Security</t>
  </si>
  <si>
    <t xml:space="preserve">RMQ-5.1</t>
  </si>
  <si>
    <t xml:space="preserve">CIS-4.2, CIS-12.2</t>
  </si>
  <si>
    <t xml:space="preserve">Bind to specific interface</t>
  </si>
  <si>
    <t xml:space="preserve">RabbitMQ bindt alleen aan specifieke interfaces, niet aan 0.0.0.0.</t>
  </si>
  <si>
    <t xml:space="preserve">ss -tlnp | grep beam
grep -i "listeners" /etc/rabbitmq/rabbitmq.conf</t>
  </si>
  <si>
    <t xml:space="preserve">listeners.ssl.1 = 10.0.0.5:5671</t>
  </si>
  <si>
    <t xml:space="preserve">RMQ-5.2</t>
  </si>
  <si>
    <t xml:space="preserve">CIS-4.4, CIS-12.2, CIS-13.4</t>
  </si>
  <si>
    <t xml:space="preserve">Firewall rules</t>
  </si>
  <si>
    <t xml:space="preserve">Firewall regels beperken toegang tot RabbitMQ poorten tot alleen geautoriseerde clients. Poorten: 5671 (AMQPS), 15671 (HTTPS Mgmt), 25672 (Erlang cluster).</t>
  </si>
  <si>
    <t xml:space="preserve">iptables -L -n | grep -E "5671|15671|25672"</t>
  </si>
  <si>
    <t xml:space="preserve">6. Logging &amp; Monitoring</t>
  </si>
  <si>
    <t xml:space="preserve">RMQ-6.1</t>
  </si>
  <si>
    <t xml:space="preserve">CIS-8.2, CIS-8.5</t>
  </si>
  <si>
    <t xml:space="preserve">Audit logging enabled</t>
  </si>
  <si>
    <t xml:space="preserve">Logging is ingeschakeld voor connections, channels, en authentication events.</t>
  </si>
  <si>
    <t xml:space="preserve">grep -i "log" /etc/rabbitmq/rabbitmq.conf
ls -la /var/log/rabbitmq/</t>
  </si>
  <si>
    <t xml:space="preserve">log.file.level = info</t>
  </si>
  <si>
    <t xml:space="preserve">RMQ-6.2</t>
  </si>
  <si>
    <t xml:space="preserve">CIS-8.9</t>
  </si>
  <si>
    <t xml:space="preserve">Log forwarding</t>
  </si>
  <si>
    <t xml:space="preserve">Logs worden doorgestuurd naar een centraal logging systeem (syslog/SIEM).</t>
  </si>
  <si>
    <t xml:space="preserve">grep -i "syslog" /etc/rabbitmq/rabbitmq.conf</t>
  </si>
  <si>
    <t xml:space="preserve">log.syslog = true</t>
  </si>
  <si>
    <t xml:space="preserve">RMQ-6.3</t>
  </si>
  <si>
    <t xml:space="preserve">CIS-8.2, CIS-12.4</t>
  </si>
  <si>
    <t xml:space="preserve">Prometheus metrics enabled</t>
  </si>
  <si>
    <t xml:space="preserve">Prometheus metrics endpoint is ingeschakeld voor monitoring, maar beveiligd.</t>
  </si>
  <si>
    <t xml:space="preserve">rabbitmq-plugins list | grep prometheus
curl -u admin:password http://localhost:15692/metrics</t>
  </si>
  <si>
    <t xml:space="preserve">7. Message Security</t>
  </si>
  <si>
    <t xml:space="preserve">RMQ-7.1</t>
  </si>
  <si>
    <t xml:space="preserve">CIS-3.4, CIS-4.1</t>
  </si>
  <si>
    <t xml:space="preserve">Message TTL configured</t>
  </si>
  <si>
    <t xml:space="preserve">Queues hebben een message TTL om te voorkomen dat berichten oneindig blijven staan.</t>
  </si>
  <si>
    <t xml:space="preserve">rabbitmqctl list_queues name arguments</t>
  </si>
  <si>
    <t xml:space="preserve">RMQ-7.2</t>
  </si>
  <si>
    <t xml:space="preserve">Queue length limits</t>
  </si>
  <si>
    <t xml:space="preserve">Queues hebben length limits om resource exhaustion te voorkomen.</t>
  </si>
  <si>
    <t xml:space="preserve">rabbitmqctl list_queues name messages_ready messages_unacknowledged</t>
  </si>
  <si>
    <t xml:space="preserve">Metric</t>
  </si>
  <si>
    <t xml:space="preserve">Value</t>
  </si>
  <si>
    <t xml:space="preserve">Assessment: RabbitMQ</t>
  </si>
  <si>
    <t xml:space="preserve">OVERZICHT</t>
  </si>
  <si>
    <t xml:space="preserve">Totaal L1 Maatregelen</t>
  </si>
  <si>
    <t xml:space="preserve">Totaal L2 Maatregelen</t>
  </si>
  <si>
    <t xml:space="preserve">Totaal Maatregelen</t>
  </si>
  <si>
    <t xml:space="preserve">BASELINE ANALYSE</t>
  </si>
  <si>
    <t xml:space="preserve">Baseline maatregelen (berekend)</t>
  </si>
  <si>
    <t xml:space="preserve">Baseline maatregelen (huidig)</t>
  </si>
  <si>
    <t xml:space="preserve">Niet-baseline maatregelen</t>
  </si>
  <si>
    <t xml:space="preserve">STATUS TELLING (alle maatregelen)</t>
  </si>
  <si>
    <t xml:space="preserve">Compliant</t>
  </si>
  <si>
    <t xml:space="preserve">Partial</t>
  </si>
  <si>
    <t xml:space="preserve">Non-Compliant</t>
  </si>
  <si>
    <t xml:space="preserve">N/A</t>
  </si>
  <si>
    <t xml:space="preserve">BASELINE STATUS (alleen baseline=Ja)</t>
  </si>
  <si>
    <t xml:space="preserve">Baseline Compliant</t>
  </si>
  <si>
    <t xml:space="preserve">Baseline Partial</t>
  </si>
  <si>
    <t xml:space="preserve">Baseline Non-Compliant</t>
  </si>
  <si>
    <t xml:space="preserve">Baseline N/A</t>
  </si>
  <si>
    <t xml:space="preserve">COMPLIANCE SCORES</t>
  </si>
  <si>
    <t xml:space="preserve">Totaal Score % (excl. N/A)</t>
  </si>
  <si>
    <t xml:space="preserve">Baseline Score % (excl. N/A)</t>
  </si>
  <si>
    <t xml:space="preserve">SCORE INTERPRETATIE</t>
  </si>
  <si>
    <t xml:space="preserve">90-100%: Uitstekend</t>
  </si>
  <si>
    <t xml:space="preserve">Onderhoud huidige status</t>
  </si>
  <si>
    <t xml:space="preserve">75-89%: Goed</t>
  </si>
  <si>
    <t xml:space="preserve">Plan verbeteringen</t>
  </si>
  <si>
    <t xml:space="preserve">50-74%: Matig</t>
  </si>
  <si>
    <t xml:space="preserve">Actie vereist binnen 3 maanden</t>
  </si>
  <si>
    <t xml:space="preserve">0-49%: Onvoldoende</t>
  </si>
  <si>
    <t xml:space="preserve">Urgente actie vereist</t>
  </si>
  <si>
    <t xml:space="preserve">EXPORTEER ASSESSMENT RESULTATEN NAAR VAULT</t>
  </si>
  <si>
    <t xml:space="preserve">Vul onderstaande gegevens in:</t>
  </si>
  <si>
    <t xml:space="preserve">Systeem:</t>
  </si>
  <si>
    <t xml:space="preserve">XENA-ZGW</t>
  </si>
  <si>
    <t xml:space="preserve">Omgeving:</t>
  </si>
  <si>
    <t xml:space="preserve">Productie</t>
  </si>
  <si>
    <t xml:space="preserve">Assessment Datum:</t>
  </si>
  <si>
    <t xml:space="preserve">2026-02-11</t>
  </si>
  <si>
    <t xml:space="preserve">EXPORT KNOP</t>
  </si>
  <si>
    <t xml:space="preserve">MACRO INSTALLATIE (eenmalig)</t>
  </si>
  <si>
    <t xml:space="preserve">1. Open dit bestand in Excel</t>
  </si>
  <si>
    <t xml:space="preserve">2. Druk Alt+F11 om de VBA Editor te openen</t>
  </si>
  <si>
    <t xml:space="preserve">3. Ga naar File &gt; Import File</t>
  </si>
  <si>
    <t xml:space="preserve">4. Selecteer: SCF_Export_Module.bas (zelfde map als dit bestand)</t>
  </si>
  <si>
    <t xml:space="preserve">5. Sluit de VBA Editor (Alt+Q)</t>
  </si>
  <si>
    <t xml:space="preserve">6. In Excel: druk Alt+F8, selecteer 'CreateExportButton', klik Run</t>
  </si>
  <si>
    <t xml:space="preserve">7. Sla het bestand op als .xlsm (Excel Macro-Enabled Workbook)</t>
  </si>
  <si>
    <t xml:space="preserve">Na installatie: klik op de knop hierboven om te exporteren.</t>
  </si>
  <si>
    <t xml:space="preserve">HANDMATIGE EXPORT (zonder macro)</t>
  </si>
  <si>
    <t xml:space="preserve">Als macro's niet mogelijk zijn, kopieer de gegenereerde Markdown hieronder:</t>
  </si>
  <si>
    <t xml:space="preserve">MARKDOWN OUTPUT:</t>
  </si>
  <si>
    <t xml:space="preserve">---</t>
  </si>
  <si>
    <t xml:space="preserve">type: assessment-result</t>
  </si>
  <si>
    <t xml:space="preserve">component: RabbitMQ</t>
  </si>
  <si>
    <t xml:space="preserve">benchmark: EXT-BM-RabbitMQ-v1.0</t>
  </si>
  <si>
    <t xml:space="preserve"># Scores</t>
  </si>
  <si>
    <t xml:space="preserve"># Tellingen</t>
  </si>
  <si>
    <t xml:space="preserve"># Assessment Result: RabbitMQ</t>
  </si>
  <si>
    <t xml:space="preserve">## Samenvatting</t>
  </si>
  <si>
    <t xml:space="preserve">| Metric | Waarde |</t>
  </si>
  <si>
    <t xml:space="preserve">|--------|--------|</t>
  </si>
  <si>
    <t xml:space="preserve">TIP: Met macro geïnstalleerd wordt ook Non-Compliant en Partial items automatisch toegevoegd.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</si>
</sst>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\%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mbria"/>
      <family val="0"/>
      <charset val="1"/>
    </font>
    <font>
      <b val="true"/>
      <sz val="12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i val="true"/>
      <sz val="11"/>
      <name val="Cambria"/>
      <family val="0"/>
      <charset val="1"/>
    </font>
    <font>
      <i val="true"/>
      <sz val="11"/>
      <color rgb="FF666666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66"/>
      </patternFill>
    </fill>
    <fill>
      <patternFill patternType="solid">
        <fgColor rgb="FFCC4E00"/>
        <bgColor rgb="FF993300"/>
      </patternFill>
    </fill>
    <fill>
      <patternFill patternType="solid">
        <fgColor rgb="FFD9E2F3"/>
        <bgColor rgb="FFE8F4E8"/>
      </patternFill>
    </fill>
    <fill>
      <patternFill patternType="solid">
        <fgColor rgb="FFE8F4E8"/>
        <bgColor rgb="FFFFF3E0"/>
      </patternFill>
    </fill>
    <fill>
      <patternFill patternType="solid">
        <fgColor rgb="FFFFF3E0"/>
        <bgColor rgb="FFFFFFCC"/>
      </patternFill>
    </fill>
    <fill>
      <patternFill patternType="solid">
        <fgColor rgb="FFFFFFCC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6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8F4E8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3E0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CC4E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472440</xdr:rowOff>
        </xdr:from>
        <xdr:to>
          <xdr:col>1</xdr:col>
          <xdr:colOff>899160</xdr:colOff>
          <xdr:row>14</xdr:row>
          <xdr:rowOff>114300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36B960-B9C4-D74E-EC06-032C37F37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Exporteer naar Vault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90"/>
  </cols>
  <sheetData>
    <row r="1" customFormat="false" ht="19.7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5" hidden="false" customHeight="false" outlineLevel="0" collapsed="false">
      <c r="A4" s="0" t="s">
        <v>2</v>
      </c>
    </row>
    <row r="5" customFormat="false" ht="15" hidden="false" customHeight="false" outlineLevel="0" collapsed="false">
      <c r="A5" s="0" t="s">
        <v>3</v>
      </c>
    </row>
    <row r="7" customFormat="false" ht="15" hidden="false" customHeight="false" outlineLevel="0" collapsed="false">
      <c r="A7" s="0" t="s">
        <v>4</v>
      </c>
    </row>
    <row r="9" customFormat="false" ht="15" hidden="false" customHeight="false" outlineLevel="0" collapsed="false">
      <c r="A9" s="2" t="s">
        <v>5</v>
      </c>
    </row>
    <row r="11" customFormat="false" ht="15" hidden="false" customHeight="false" outlineLevel="0" collapsed="false">
      <c r="A11" s="0" t="s">
        <v>6</v>
      </c>
    </row>
    <row r="12" customFormat="false" ht="15" hidden="false" customHeight="false" outlineLevel="0" collapsed="false">
      <c r="A12" s="0" t="s">
        <v>7</v>
      </c>
    </row>
    <row r="13" customFormat="false" ht="15" hidden="false" customHeight="false" outlineLevel="0" collapsed="false">
      <c r="A13" s="0" t="s">
        <v>8</v>
      </c>
    </row>
    <row r="14" customFormat="false" ht="15" hidden="false" customHeight="false" outlineLevel="0" collapsed="false">
      <c r="A14" s="0" t="s">
        <v>9</v>
      </c>
    </row>
    <row r="15" customFormat="false" ht="15" hidden="false" customHeight="false" outlineLevel="0" collapsed="false">
      <c r="A15" s="0" t="s">
        <v>10</v>
      </c>
    </row>
    <row r="16" customFormat="false" ht="15" hidden="false" customHeight="false" outlineLevel="0" collapsed="false">
      <c r="A16" s="0" t="s">
        <v>11</v>
      </c>
    </row>
    <row r="17" customFormat="false" ht="15" hidden="false" customHeight="false" outlineLevel="0" collapsed="false">
      <c r="A17" s="0" t="s">
        <v>12</v>
      </c>
    </row>
    <row r="18" customFormat="false" ht="15" hidden="false" customHeight="false" outlineLevel="0" collapsed="false">
      <c r="A18" s="0" t="s">
        <v>13</v>
      </c>
    </row>
    <row r="19" customFormat="false" ht="15" hidden="false" customHeight="false" outlineLevel="0" collapsed="false">
      <c r="A19" s="0" t="s">
        <v>14</v>
      </c>
    </row>
    <row r="20" customFormat="false" ht="15" hidden="false" customHeight="false" outlineLevel="0" collapsed="false">
      <c r="A20" s="0" t="s">
        <v>15</v>
      </c>
    </row>
    <row r="21" customFormat="false" ht="15" hidden="false" customHeight="false" outlineLevel="0" collapsed="false">
      <c r="A21" s="0" t="s">
        <v>16</v>
      </c>
    </row>
    <row r="22" customFormat="false" ht="15" hidden="false" customHeight="false" outlineLevel="0" collapsed="false">
      <c r="A22" s="0" t="s">
        <v>17</v>
      </c>
    </row>
    <row r="23" customFormat="false" ht="15" hidden="false" customHeight="false" outlineLevel="0" collapsed="false">
      <c r="A23" s="0" t="s">
        <v>18</v>
      </c>
    </row>
    <row r="24" customFormat="false" ht="15" hidden="false" customHeight="false" outlineLevel="0" collapsed="false">
      <c r="A24" s="0" t="s">
        <v>19</v>
      </c>
    </row>
    <row r="26" customFormat="false" ht="15" hidden="false" customHeight="false" outlineLevel="0" collapsed="false">
      <c r="A26" s="2" t="s">
        <v>20</v>
      </c>
    </row>
    <row r="27" customFormat="false" ht="15" hidden="false" customHeight="false" outlineLevel="0" collapsed="false">
      <c r="A27" s="0" t="s">
        <v>21</v>
      </c>
    </row>
    <row r="28" customFormat="false" ht="15" hidden="false" customHeight="false" outlineLevel="0" collapsed="false">
      <c r="A28" s="0" t="s">
        <v>22</v>
      </c>
    </row>
    <row r="30" customFormat="false" ht="15" hidden="false" customHeight="false" outlineLevel="0" collapsed="false">
      <c r="A30" s="2" t="s">
        <v>23</v>
      </c>
    </row>
    <row r="31" customFormat="false" ht="15" hidden="false" customHeight="false" outlineLevel="0" collapsed="false">
      <c r="A31" s="0" t="s">
        <v>24</v>
      </c>
    </row>
    <row r="32" customFormat="false" ht="15" hidden="false" customHeight="false" outlineLevel="0" collapsed="false">
      <c r="A32" s="0" t="s">
        <v>25</v>
      </c>
    </row>
    <row r="33" customFormat="false" ht="15" hidden="false" customHeight="false" outlineLevel="0" collapsed="false">
      <c r="A33" s="0" t="s">
        <v>26</v>
      </c>
    </row>
    <row r="35" customFormat="false" ht="15" hidden="false" customHeight="false" outlineLevel="0" collapsed="false">
      <c r="A35" s="0" t="s">
        <v>27</v>
      </c>
    </row>
    <row r="36" customFormat="false" ht="15" hidden="false" customHeight="false" outlineLevel="0" collapsed="false">
      <c r="A36" s="0" t="s">
        <v>28</v>
      </c>
    </row>
    <row r="37" customFormat="false" ht="15" hidden="false" customHeight="false" outlineLevel="0" collapsed="false">
      <c r="A37" s="0" t="s">
        <v>29</v>
      </c>
    </row>
    <row r="39" customFormat="false" ht="15" hidden="false" customHeight="false" outlineLevel="0" collapsed="false">
      <c r="A39" s="0" t="s">
        <v>30</v>
      </c>
    </row>
    <row r="40" customFormat="false" ht="15" hidden="false" customHeight="false" outlineLevel="0" collapsed="false">
      <c r="A40" s="0" t="s">
        <v>31</v>
      </c>
    </row>
    <row r="41" customFormat="false" ht="15" hidden="false" customHeight="false" outlineLevel="0" collapsed="false">
      <c r="A41" s="0" t="s">
        <v>32</v>
      </c>
    </row>
    <row r="43" customFormat="false" ht="15" hidden="false" customHeight="false" outlineLevel="0" collapsed="false">
      <c r="A43" s="2" t="s">
        <v>33</v>
      </c>
    </row>
    <row r="44" customFormat="false" ht="15" hidden="false" customHeight="false" outlineLevel="0" collapsed="false">
      <c r="A44" s="0" t="s">
        <v>34</v>
      </c>
    </row>
    <row r="45" customFormat="false" ht="15" hidden="false" customHeight="false" outlineLevel="0" collapsed="false">
      <c r="A45" s="0" t="s">
        <v>35</v>
      </c>
    </row>
    <row r="46" customFormat="false" ht="15" hidden="false" customHeight="false" outlineLevel="0" collapsed="false">
      <c r="A46" s="0" t="s">
        <v>36</v>
      </c>
    </row>
    <row r="47" customFormat="false" ht="15" hidden="false" customHeight="false" outlineLevel="0" collapsed="false">
      <c r="A47" s="0" t="s">
        <v>37</v>
      </c>
    </row>
    <row r="48" customFormat="false" ht="15" hidden="false" customHeight="false" outlineLevel="0" collapsed="false">
      <c r="A48" s="0" t="s">
        <v>38</v>
      </c>
    </row>
    <row r="49" customFormat="false" ht="15" hidden="false" customHeight="false" outlineLevel="0" collapsed="false">
      <c r="A49" s="0" t="s">
        <v>39</v>
      </c>
    </row>
    <row r="51" customFormat="false" ht="15" hidden="false" customHeight="false" outlineLevel="0" collapsed="false">
      <c r="A51" s="2" t="s">
        <v>40</v>
      </c>
    </row>
    <row r="52" customFormat="false" ht="15" hidden="false" customHeight="false" outlineLevel="0" collapsed="false">
      <c r="A52" s="0" t="s">
        <v>41</v>
      </c>
    </row>
    <row r="53" customFormat="false" ht="15" hidden="false" customHeight="false" outlineLevel="0" collapsed="false">
      <c r="A53" s="0" t="s">
        <v>42</v>
      </c>
    </row>
    <row r="54" customFormat="false" ht="15" hidden="false" customHeight="false" outlineLevel="0" collapsed="false">
      <c r="A54" s="0" t="s">
        <v>43</v>
      </c>
    </row>
    <row r="55" customFormat="false" ht="15" hidden="false" customHeight="false" outlineLevel="0" collapsed="false">
      <c r="A55" s="0" t="s">
        <v>44</v>
      </c>
    </row>
    <row r="56" customFormat="false" ht="15" hidden="false" customHeight="false" outlineLevel="0" collapsed="false">
      <c r="A56" s="0" t="s">
        <v>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6"/>
    <col collapsed="false" customWidth="true" hidden="false" outlineLevel="0" max="3" min="3" style="0" width="8"/>
    <col collapsed="false" customWidth="true" hidden="false" outlineLevel="0" max="4" min="4" style="0" width="18"/>
    <col collapsed="false" customWidth="true" hidden="false" outlineLevel="0" max="5" min="5" style="0" width="32"/>
    <col collapsed="false" customWidth="true" hidden="false" outlineLevel="0" max="6" min="6" style="0" width="45"/>
    <col collapsed="false" customWidth="true" hidden="false" outlineLevel="0" max="7" min="7" style="0" width="40"/>
    <col collapsed="false" customWidth="true" hidden="false" outlineLevel="0" max="8" min="8" style="0" width="25"/>
    <col collapsed="false" customWidth="true" hidden="false" outlineLevel="0" max="9" min="9" style="0" width="14"/>
    <col collapsed="false" customWidth="true" hidden="false" outlineLevel="0" max="11" min="10" style="0" width="25"/>
    <col collapsed="false" customWidth="true" hidden="false" outlineLevel="0" max="12" min="12" style="0" width="16"/>
  </cols>
  <sheetData>
    <row r="1" customFormat="false" ht="30" hidden="false" customHeight="true" outlineLevel="0" collapsed="false">
      <c r="A1" s="3" t="s">
        <v>46</v>
      </c>
      <c r="B1" s="3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  <c r="K1" s="3" t="s">
        <v>56</v>
      </c>
      <c r="L1" s="3" t="s">
        <v>57</v>
      </c>
    </row>
    <row r="2" customFormat="false" ht="15" hidden="false" customHeight="false" outlineLevel="0" collapsed="false">
      <c r="A2" s="4" t="s">
        <v>58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customFormat="false" ht="60" hidden="false" customHeight="true" outlineLevel="0" collapsed="false">
      <c r="A3" s="5" t="s">
        <v>59</v>
      </c>
      <c r="B3" s="6" t="s">
        <v>60</v>
      </c>
      <c r="C3" s="6" t="s">
        <v>61</v>
      </c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7"/>
      <c r="J3" s="5"/>
      <c r="K3" s="5"/>
      <c r="L3" s="5"/>
    </row>
    <row r="4" customFormat="false" ht="60" hidden="false" customHeight="true" outlineLevel="0" collapsed="false">
      <c r="A4" s="5" t="s">
        <v>67</v>
      </c>
      <c r="B4" s="6" t="s">
        <v>60</v>
      </c>
      <c r="C4" s="6" t="s">
        <v>61</v>
      </c>
      <c r="D4" s="5" t="s">
        <v>68</v>
      </c>
      <c r="E4" s="5" t="s">
        <v>69</v>
      </c>
      <c r="F4" s="5" t="s">
        <v>70</v>
      </c>
      <c r="G4" s="5" t="s">
        <v>71</v>
      </c>
      <c r="H4" s="5"/>
      <c r="I4" s="7"/>
      <c r="J4" s="5"/>
      <c r="K4" s="5"/>
      <c r="L4" s="5"/>
    </row>
    <row r="5" customFormat="false" ht="60" hidden="false" customHeight="true" outlineLevel="0" collapsed="false">
      <c r="A5" s="8" t="s">
        <v>72</v>
      </c>
      <c r="B5" s="9" t="s">
        <v>73</v>
      </c>
      <c r="C5" s="9" t="s">
        <v>74</v>
      </c>
      <c r="D5" s="8" t="s">
        <v>75</v>
      </c>
      <c r="E5" s="8" t="s">
        <v>76</v>
      </c>
      <c r="F5" s="8" t="s">
        <v>77</v>
      </c>
      <c r="G5" s="8" t="s">
        <v>78</v>
      </c>
      <c r="H5" s="8" t="s">
        <v>79</v>
      </c>
      <c r="I5" s="10"/>
      <c r="J5" s="8"/>
      <c r="K5" s="8"/>
      <c r="L5" s="8"/>
    </row>
    <row r="6" customFormat="false" ht="15" hidden="false" customHeight="false" outlineLevel="0" collapsed="false">
      <c r="A6" s="4" t="s">
        <v>80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customFormat="false" ht="60" hidden="false" customHeight="true" outlineLevel="0" collapsed="false">
      <c r="A7" s="5" t="s">
        <v>81</v>
      </c>
      <c r="B7" s="6" t="s">
        <v>60</v>
      </c>
      <c r="C7" s="6" t="s">
        <v>61</v>
      </c>
      <c r="D7" s="5" t="s">
        <v>82</v>
      </c>
      <c r="E7" s="5" t="s">
        <v>83</v>
      </c>
      <c r="F7" s="5" t="s">
        <v>84</v>
      </c>
      <c r="G7" s="5" t="s">
        <v>85</v>
      </c>
      <c r="H7" s="5" t="s">
        <v>86</v>
      </c>
      <c r="I7" s="7"/>
      <c r="J7" s="5"/>
      <c r="K7" s="5"/>
      <c r="L7" s="5"/>
    </row>
    <row r="8" customFormat="false" ht="60" hidden="false" customHeight="true" outlineLevel="0" collapsed="false">
      <c r="A8" s="5" t="s">
        <v>87</v>
      </c>
      <c r="B8" s="6" t="s">
        <v>60</v>
      </c>
      <c r="C8" s="6" t="s">
        <v>61</v>
      </c>
      <c r="D8" s="5" t="s">
        <v>88</v>
      </c>
      <c r="E8" s="5" t="s">
        <v>89</v>
      </c>
      <c r="F8" s="5" t="s">
        <v>90</v>
      </c>
      <c r="G8" s="5" t="s">
        <v>91</v>
      </c>
      <c r="H8" s="5"/>
      <c r="I8" s="7"/>
      <c r="J8" s="5"/>
      <c r="K8" s="5"/>
      <c r="L8" s="5"/>
    </row>
    <row r="9" customFormat="false" ht="60" hidden="false" customHeight="true" outlineLevel="0" collapsed="false">
      <c r="A9" s="8" t="s">
        <v>92</v>
      </c>
      <c r="B9" s="9" t="s">
        <v>73</v>
      </c>
      <c r="C9" s="9" t="s">
        <v>74</v>
      </c>
      <c r="D9" s="8" t="s">
        <v>93</v>
      </c>
      <c r="E9" s="8" t="s">
        <v>94</v>
      </c>
      <c r="F9" s="8" t="s">
        <v>95</v>
      </c>
      <c r="G9" s="8" t="s">
        <v>96</v>
      </c>
      <c r="H9" s="8"/>
      <c r="I9" s="10"/>
      <c r="J9" s="8"/>
      <c r="K9" s="8"/>
      <c r="L9" s="8"/>
    </row>
    <row r="10" customFormat="false" ht="15" hidden="false" customHeight="false" outlineLevel="0" collapsed="false">
      <c r="A10" s="4" t="s">
        <v>97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customFormat="false" ht="60" hidden="false" customHeight="true" outlineLevel="0" collapsed="false">
      <c r="A11" s="5" t="s">
        <v>98</v>
      </c>
      <c r="B11" s="6" t="s">
        <v>60</v>
      </c>
      <c r="C11" s="6" t="s">
        <v>61</v>
      </c>
      <c r="D11" s="5" t="s">
        <v>99</v>
      </c>
      <c r="E11" s="5" t="s">
        <v>100</v>
      </c>
      <c r="F11" s="5" t="s">
        <v>101</v>
      </c>
      <c r="G11" s="5" t="s">
        <v>102</v>
      </c>
      <c r="H11" s="5" t="s">
        <v>103</v>
      </c>
      <c r="I11" s="7"/>
      <c r="J11" s="5"/>
      <c r="K11" s="5"/>
      <c r="L11" s="5"/>
    </row>
    <row r="12" customFormat="false" ht="60" hidden="false" customHeight="true" outlineLevel="0" collapsed="false">
      <c r="A12" s="5" t="s">
        <v>104</v>
      </c>
      <c r="B12" s="6" t="s">
        <v>60</v>
      </c>
      <c r="C12" s="6" t="s">
        <v>61</v>
      </c>
      <c r="D12" s="5" t="s">
        <v>99</v>
      </c>
      <c r="E12" s="5" t="s">
        <v>105</v>
      </c>
      <c r="F12" s="5" t="s">
        <v>106</v>
      </c>
      <c r="G12" s="5" t="s">
        <v>107</v>
      </c>
      <c r="H12" s="5" t="s">
        <v>108</v>
      </c>
      <c r="I12" s="7"/>
      <c r="J12" s="5"/>
      <c r="K12" s="5"/>
      <c r="L12" s="5"/>
    </row>
    <row r="13" customFormat="false" ht="60" hidden="false" customHeight="true" outlineLevel="0" collapsed="false">
      <c r="A13" s="5" t="s">
        <v>109</v>
      </c>
      <c r="B13" s="6" t="s">
        <v>60</v>
      </c>
      <c r="C13" s="6" t="s">
        <v>61</v>
      </c>
      <c r="D13" s="5" t="s">
        <v>99</v>
      </c>
      <c r="E13" s="5" t="s">
        <v>110</v>
      </c>
      <c r="F13" s="5" t="s">
        <v>111</v>
      </c>
      <c r="G13" s="5" t="s">
        <v>112</v>
      </c>
      <c r="H13" s="5" t="s">
        <v>113</v>
      </c>
      <c r="I13" s="7"/>
      <c r="J13" s="5"/>
      <c r="K13" s="5"/>
      <c r="L13" s="5"/>
    </row>
    <row r="14" customFormat="false" ht="60" hidden="false" customHeight="true" outlineLevel="0" collapsed="false">
      <c r="A14" s="8" t="s">
        <v>114</v>
      </c>
      <c r="B14" s="9" t="s">
        <v>73</v>
      </c>
      <c r="C14" s="9" t="s">
        <v>74</v>
      </c>
      <c r="D14" s="8" t="s">
        <v>115</v>
      </c>
      <c r="E14" s="8" t="s">
        <v>116</v>
      </c>
      <c r="F14" s="8" t="s">
        <v>117</v>
      </c>
      <c r="G14" s="8" t="s">
        <v>118</v>
      </c>
      <c r="H14" s="8"/>
      <c r="I14" s="10"/>
      <c r="J14" s="8"/>
      <c r="K14" s="8"/>
      <c r="L14" s="8"/>
    </row>
    <row r="15" customFormat="false" ht="15" hidden="false" customHeight="false" outlineLevel="0" collapsed="false">
      <c r="A15" s="4" t="s">
        <v>119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customFormat="false" ht="60" hidden="false" customHeight="true" outlineLevel="0" collapsed="false">
      <c r="A16" s="5" t="s">
        <v>120</v>
      </c>
      <c r="B16" s="6" t="s">
        <v>60</v>
      </c>
      <c r="C16" s="6" t="s">
        <v>61</v>
      </c>
      <c r="D16" s="5" t="s">
        <v>121</v>
      </c>
      <c r="E16" s="5" t="s">
        <v>122</v>
      </c>
      <c r="F16" s="5" t="s">
        <v>123</v>
      </c>
      <c r="G16" s="5" t="s">
        <v>124</v>
      </c>
      <c r="H16" s="5" t="s">
        <v>125</v>
      </c>
      <c r="I16" s="7"/>
      <c r="J16" s="5"/>
      <c r="K16" s="5"/>
      <c r="L16" s="5"/>
    </row>
    <row r="17" customFormat="false" ht="60" hidden="false" customHeight="true" outlineLevel="0" collapsed="false">
      <c r="A17" s="5" t="s">
        <v>126</v>
      </c>
      <c r="B17" s="6" t="s">
        <v>60</v>
      </c>
      <c r="C17" s="6" t="s">
        <v>61</v>
      </c>
      <c r="D17" s="5" t="s">
        <v>127</v>
      </c>
      <c r="E17" s="5" t="s">
        <v>128</v>
      </c>
      <c r="F17" s="5" t="s">
        <v>129</v>
      </c>
      <c r="G17" s="5" t="s">
        <v>130</v>
      </c>
      <c r="H17" s="5"/>
      <c r="I17" s="7"/>
      <c r="J17" s="5"/>
      <c r="K17" s="5"/>
      <c r="L17" s="5"/>
    </row>
    <row r="18" customFormat="false" ht="60" hidden="false" customHeight="true" outlineLevel="0" collapsed="false">
      <c r="A18" s="8" t="s">
        <v>131</v>
      </c>
      <c r="B18" s="9" t="s">
        <v>73</v>
      </c>
      <c r="C18" s="9" t="s">
        <v>74</v>
      </c>
      <c r="D18" s="8" t="s">
        <v>132</v>
      </c>
      <c r="E18" s="8" t="s">
        <v>133</v>
      </c>
      <c r="F18" s="8" t="s">
        <v>134</v>
      </c>
      <c r="G18" s="8" t="s">
        <v>135</v>
      </c>
      <c r="H18" s="8" t="s">
        <v>136</v>
      </c>
      <c r="I18" s="10"/>
      <c r="J18" s="8"/>
      <c r="K18" s="8"/>
      <c r="L18" s="8"/>
    </row>
    <row r="19" customFormat="false" ht="15" hidden="false" customHeight="false" outlineLevel="0" collapsed="false">
      <c r="A19" s="4" t="s">
        <v>137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</row>
    <row r="20" customFormat="false" ht="60" hidden="false" customHeight="true" outlineLevel="0" collapsed="false">
      <c r="A20" s="5" t="s">
        <v>138</v>
      </c>
      <c r="B20" s="6" t="s">
        <v>60</v>
      </c>
      <c r="C20" s="6" t="s">
        <v>61</v>
      </c>
      <c r="D20" s="5" t="s">
        <v>139</v>
      </c>
      <c r="E20" s="5" t="s">
        <v>140</v>
      </c>
      <c r="F20" s="5" t="s">
        <v>141</v>
      </c>
      <c r="G20" s="5" t="s">
        <v>142</v>
      </c>
      <c r="H20" s="5" t="s">
        <v>143</v>
      </c>
      <c r="I20" s="7"/>
      <c r="J20" s="5"/>
      <c r="K20" s="5"/>
      <c r="L20" s="5"/>
    </row>
    <row r="21" customFormat="false" ht="60" hidden="false" customHeight="true" outlineLevel="0" collapsed="false">
      <c r="A21" s="5" t="s">
        <v>144</v>
      </c>
      <c r="B21" s="6" t="s">
        <v>60</v>
      </c>
      <c r="C21" s="6" t="s">
        <v>61</v>
      </c>
      <c r="D21" s="5" t="s">
        <v>145</v>
      </c>
      <c r="E21" s="5" t="s">
        <v>146</v>
      </c>
      <c r="F21" s="5" t="s">
        <v>147</v>
      </c>
      <c r="G21" s="5" t="s">
        <v>148</v>
      </c>
      <c r="H21" s="5"/>
      <c r="I21" s="7"/>
      <c r="J21" s="5"/>
      <c r="K21" s="5"/>
      <c r="L21" s="5"/>
    </row>
    <row r="22" customFormat="false" ht="15" hidden="false" customHeight="false" outlineLevel="0" collapsed="false">
      <c r="A22" s="4" t="s">
        <v>149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customFormat="false" ht="60" hidden="false" customHeight="true" outlineLevel="0" collapsed="false">
      <c r="A23" s="5" t="s">
        <v>150</v>
      </c>
      <c r="B23" s="6" t="s">
        <v>60</v>
      </c>
      <c r="C23" s="6" t="s">
        <v>61</v>
      </c>
      <c r="D23" s="5" t="s">
        <v>151</v>
      </c>
      <c r="E23" s="5" t="s">
        <v>152</v>
      </c>
      <c r="F23" s="5" t="s">
        <v>153</v>
      </c>
      <c r="G23" s="5" t="s">
        <v>154</v>
      </c>
      <c r="H23" s="5" t="s">
        <v>155</v>
      </c>
      <c r="I23" s="7"/>
      <c r="J23" s="5"/>
      <c r="K23" s="5"/>
      <c r="L23" s="5"/>
    </row>
    <row r="24" customFormat="false" ht="60" hidden="false" customHeight="true" outlineLevel="0" collapsed="false">
      <c r="A24" s="5" t="s">
        <v>156</v>
      </c>
      <c r="B24" s="6" t="s">
        <v>60</v>
      </c>
      <c r="C24" s="6" t="s">
        <v>61</v>
      </c>
      <c r="D24" s="5" t="s">
        <v>157</v>
      </c>
      <c r="E24" s="5" t="s">
        <v>158</v>
      </c>
      <c r="F24" s="5" t="s">
        <v>159</v>
      </c>
      <c r="G24" s="5" t="s">
        <v>160</v>
      </c>
      <c r="H24" s="5" t="s">
        <v>161</v>
      </c>
      <c r="I24" s="7"/>
      <c r="J24" s="5"/>
      <c r="K24" s="5"/>
      <c r="L24" s="5"/>
    </row>
    <row r="25" customFormat="false" ht="60" hidden="false" customHeight="true" outlineLevel="0" collapsed="false">
      <c r="A25" s="8" t="s">
        <v>162</v>
      </c>
      <c r="B25" s="9" t="s">
        <v>73</v>
      </c>
      <c r="C25" s="9" t="s">
        <v>74</v>
      </c>
      <c r="D25" s="8" t="s">
        <v>163</v>
      </c>
      <c r="E25" s="8" t="s">
        <v>164</v>
      </c>
      <c r="F25" s="8" t="s">
        <v>165</v>
      </c>
      <c r="G25" s="8" t="s">
        <v>166</v>
      </c>
      <c r="H25" s="8"/>
      <c r="I25" s="10"/>
      <c r="J25" s="8"/>
      <c r="K25" s="8"/>
      <c r="L25" s="8"/>
    </row>
    <row r="26" customFormat="false" ht="15" hidden="false" customHeight="false" outlineLevel="0" collapsed="false">
      <c r="A26" s="4" t="s">
        <v>167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customFormat="false" ht="60" hidden="false" customHeight="true" outlineLevel="0" collapsed="false">
      <c r="A27" s="5" t="s">
        <v>168</v>
      </c>
      <c r="B27" s="6" t="s">
        <v>60</v>
      </c>
      <c r="C27" s="6" t="s">
        <v>61</v>
      </c>
      <c r="D27" s="5" t="s">
        <v>169</v>
      </c>
      <c r="E27" s="5" t="s">
        <v>170</v>
      </c>
      <c r="F27" s="5" t="s">
        <v>171</v>
      </c>
      <c r="G27" s="5" t="s">
        <v>172</v>
      </c>
      <c r="H27" s="5"/>
      <c r="I27" s="7"/>
      <c r="J27" s="5"/>
      <c r="K27" s="5"/>
      <c r="L27" s="5"/>
    </row>
    <row r="28" customFormat="false" ht="60" hidden="false" customHeight="true" outlineLevel="0" collapsed="false">
      <c r="A28" s="5" t="s">
        <v>173</v>
      </c>
      <c r="B28" s="6" t="s">
        <v>60</v>
      </c>
      <c r="C28" s="6" t="s">
        <v>61</v>
      </c>
      <c r="D28" s="5" t="s">
        <v>132</v>
      </c>
      <c r="E28" s="5" t="s">
        <v>174</v>
      </c>
      <c r="F28" s="5" t="s">
        <v>175</v>
      </c>
      <c r="G28" s="5" t="s">
        <v>176</v>
      </c>
      <c r="H28" s="5"/>
      <c r="I28" s="7"/>
      <c r="J28" s="5"/>
      <c r="K28" s="5"/>
      <c r="L28" s="5"/>
    </row>
  </sheetData>
  <mergeCells count="7">
    <mergeCell ref="A2:L2"/>
    <mergeCell ref="A6:L6"/>
    <mergeCell ref="A10:L10"/>
    <mergeCell ref="A15:L15"/>
    <mergeCell ref="A19:L19"/>
    <mergeCell ref="A22:L22"/>
    <mergeCell ref="A26:L26"/>
  </mergeCells>
  <dataValidations count="2">
    <dataValidation allowBlank="true" error="Kies een geldige status" errorStyle="stop" operator="between" showDropDown="false" showErrorMessage="false" showInputMessage="false" sqref="I3:I5 I7:I9 I11:I14 I16:I18 I20:I21 I23:I25 I27:I28" type="list">
      <formula1>"Compliant,Partial,Non-Compliant,N/A"</formula1>
      <formula2>0</formula2>
    </dataValidation>
    <dataValidation allowBlank="false" error="Kies Ja of Nee" errorStyle="stop" operator="between" showDropDown="false" showErrorMessage="false" showInputMessage="false" sqref="C3:C5 C7:C9 C11:C14 C16:C18 C20:C21 C23:C25 C27:C28" type="list">
      <formula1>"Ja,Nee"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0"/>
  </cols>
  <sheetData>
    <row r="1" customFormat="false" ht="15" hidden="false" customHeight="false" outlineLevel="0" collapsed="false">
      <c r="A1" s="11" t="s">
        <v>177</v>
      </c>
      <c r="B1" s="11" t="s">
        <v>178</v>
      </c>
    </row>
    <row r="2" customFormat="false" ht="15" hidden="false" customHeight="false" outlineLevel="0" collapsed="false">
      <c r="A2" s="12" t="s">
        <v>179</v>
      </c>
      <c r="B2" s="12"/>
    </row>
    <row r="3" customFormat="false" ht="15" hidden="false" customHeight="false" outlineLevel="0" collapsed="false">
      <c r="A3" s="12"/>
      <c r="B3" s="12"/>
    </row>
    <row r="4" customFormat="false" ht="15" hidden="false" customHeight="false" outlineLevel="0" collapsed="false">
      <c r="A4" s="13" t="s">
        <v>180</v>
      </c>
      <c r="B4" s="12"/>
    </row>
    <row r="5" customFormat="false" ht="15" hidden="false" customHeight="false" outlineLevel="0" collapsed="false">
      <c r="A5" s="12" t="s">
        <v>181</v>
      </c>
      <c r="B5" s="12" t="n">
        <v>15</v>
      </c>
    </row>
    <row r="6" customFormat="false" ht="15" hidden="false" customHeight="false" outlineLevel="0" collapsed="false">
      <c r="A6" s="12" t="s">
        <v>182</v>
      </c>
      <c r="B6" s="12" t="n">
        <v>5</v>
      </c>
    </row>
    <row r="7" customFormat="false" ht="15" hidden="false" customHeight="false" outlineLevel="0" collapsed="false">
      <c r="A7" s="12" t="s">
        <v>183</v>
      </c>
      <c r="B7" s="12" t="n">
        <v>20</v>
      </c>
    </row>
    <row r="8" customFormat="false" ht="15" hidden="false" customHeight="false" outlineLevel="0" collapsed="false">
      <c r="A8" s="12"/>
      <c r="B8" s="12"/>
    </row>
    <row r="9" customFormat="false" ht="15" hidden="false" customHeight="false" outlineLevel="0" collapsed="false">
      <c r="A9" s="13" t="s">
        <v>184</v>
      </c>
      <c r="B9" s="12"/>
    </row>
    <row r="10" customFormat="false" ht="15" hidden="false" customHeight="false" outlineLevel="0" collapsed="false">
      <c r="A10" s="12" t="s">
        <v>185</v>
      </c>
      <c r="B10" s="12" t="n">
        <v>15</v>
      </c>
    </row>
    <row r="11" customFormat="false" ht="15" hidden="false" customHeight="false" outlineLevel="0" collapsed="false">
      <c r="A11" s="12" t="s">
        <v>186</v>
      </c>
      <c r="B11" s="12" t="n">
        <f aca="false">COUNTIF(Assessment!C:C,"Ja")</f>
        <v>15</v>
      </c>
    </row>
    <row r="12" customFormat="false" ht="15" hidden="false" customHeight="false" outlineLevel="0" collapsed="false">
      <c r="A12" s="12" t="s">
        <v>187</v>
      </c>
      <c r="B12" s="12" t="n">
        <f aca="false">COUNTIF(Assessment!C:C,"Nee")</f>
        <v>5</v>
      </c>
    </row>
    <row r="13" customFormat="false" ht="15" hidden="false" customHeight="false" outlineLevel="0" collapsed="false">
      <c r="A13" s="12"/>
      <c r="B13" s="12"/>
    </row>
    <row r="14" customFormat="false" ht="15" hidden="false" customHeight="false" outlineLevel="0" collapsed="false">
      <c r="A14" s="13" t="s">
        <v>188</v>
      </c>
      <c r="B14" s="12"/>
    </row>
    <row r="15" customFormat="false" ht="15" hidden="false" customHeight="false" outlineLevel="0" collapsed="false">
      <c r="A15" s="12" t="s">
        <v>189</v>
      </c>
      <c r="B15" s="12" t="n">
        <f aca="false">COUNTIF(Assessment!I:I,"Compliant")</f>
        <v>0</v>
      </c>
    </row>
    <row r="16" customFormat="false" ht="15" hidden="false" customHeight="false" outlineLevel="0" collapsed="false">
      <c r="A16" s="12" t="s">
        <v>190</v>
      </c>
      <c r="B16" s="12" t="n">
        <f aca="false">COUNTIF(Assessment!I:I,"Partial")</f>
        <v>0</v>
      </c>
    </row>
    <row r="17" customFormat="false" ht="15" hidden="false" customHeight="false" outlineLevel="0" collapsed="false">
      <c r="A17" s="12" t="s">
        <v>191</v>
      </c>
      <c r="B17" s="12" t="n">
        <f aca="false">COUNTIF(Assessment!I:I,"Non-Compliant")</f>
        <v>0</v>
      </c>
    </row>
    <row r="18" customFormat="false" ht="15" hidden="false" customHeight="false" outlineLevel="0" collapsed="false">
      <c r="A18" s="12" t="s">
        <v>192</v>
      </c>
      <c r="B18" s="12" t="n">
        <f aca="false">COUNTIF(Assessment!I:I,"N/A")</f>
        <v>0</v>
      </c>
    </row>
    <row r="19" customFormat="false" ht="15" hidden="false" customHeight="false" outlineLevel="0" collapsed="false">
      <c r="A19" s="12"/>
      <c r="B19" s="12"/>
    </row>
    <row r="20" customFormat="false" ht="15" hidden="false" customHeight="false" outlineLevel="0" collapsed="false">
      <c r="A20" s="13" t="s">
        <v>193</v>
      </c>
      <c r="B20" s="12"/>
    </row>
    <row r="21" customFormat="false" ht="15" hidden="false" customHeight="false" outlineLevel="0" collapsed="false">
      <c r="A21" s="12" t="s">
        <v>194</v>
      </c>
      <c r="B21" s="12" t="n">
        <f aca="false">COUNTIFS(Assessment!C:C,"Ja",Assessment!I:I,"Compliant")</f>
        <v>0</v>
      </c>
    </row>
    <row r="22" customFormat="false" ht="15" hidden="false" customHeight="false" outlineLevel="0" collapsed="false">
      <c r="A22" s="12" t="s">
        <v>195</v>
      </c>
      <c r="B22" s="12" t="n">
        <f aca="false">COUNTIFS(Assessment!C:C,"Ja",Assessment!I:I,"Partial")</f>
        <v>0</v>
      </c>
    </row>
    <row r="23" customFormat="false" ht="15" hidden="false" customHeight="false" outlineLevel="0" collapsed="false">
      <c r="A23" s="12" t="s">
        <v>196</v>
      </c>
      <c r="B23" s="12" t="n">
        <f aca="false">COUNTIFS(Assessment!C:C,"Ja",Assessment!I:I,"Non-Compliant")</f>
        <v>0</v>
      </c>
    </row>
    <row r="24" customFormat="false" ht="15" hidden="false" customHeight="false" outlineLevel="0" collapsed="false">
      <c r="A24" s="12" t="s">
        <v>197</v>
      </c>
      <c r="B24" s="12" t="n">
        <f aca="false">COUNTIFS(Assessment!C:C,"Ja",Assessment!I:I,"N/A")</f>
        <v>0</v>
      </c>
    </row>
    <row r="25" customFormat="false" ht="15" hidden="false" customHeight="false" outlineLevel="0" collapsed="false">
      <c r="A25" s="12"/>
      <c r="B25" s="12"/>
    </row>
    <row r="26" customFormat="false" ht="15" hidden="false" customHeight="false" outlineLevel="0" collapsed="false">
      <c r="A26" s="13" t="s">
        <v>198</v>
      </c>
      <c r="B26" s="12"/>
    </row>
    <row r="27" customFormat="false" ht="15" hidden="false" customHeight="false" outlineLevel="0" collapsed="false">
      <c r="A27" s="12" t="s">
        <v>199</v>
      </c>
      <c r="B27" s="14" t="n">
        <f aca="false">IF((B14+B15+B16)&gt;0,ROUND(B14/(B14+B15+B16)*100,1),0)</f>
        <v>0</v>
      </c>
    </row>
    <row r="28" customFormat="false" ht="15" hidden="false" customHeight="false" outlineLevel="0" collapsed="false">
      <c r="A28" s="12" t="s">
        <v>200</v>
      </c>
      <c r="B28" s="14" t="n">
        <f aca="false">IF((B20+B21+B22)&gt;0,ROUND(B20/(B20+B21+B22)*100,1),0)</f>
        <v>0</v>
      </c>
    </row>
    <row r="29" customFormat="false" ht="15" hidden="false" customHeight="false" outlineLevel="0" collapsed="false">
      <c r="A29" s="12"/>
      <c r="B29" s="12"/>
    </row>
    <row r="30" customFormat="false" ht="15" hidden="false" customHeight="false" outlineLevel="0" collapsed="false">
      <c r="A30" s="13" t="s">
        <v>201</v>
      </c>
      <c r="B30" s="12"/>
    </row>
    <row r="31" customFormat="false" ht="15" hidden="false" customHeight="false" outlineLevel="0" collapsed="false">
      <c r="A31" s="12" t="s">
        <v>202</v>
      </c>
      <c r="B31" s="12" t="s">
        <v>203</v>
      </c>
    </row>
    <row r="32" customFormat="false" ht="15" hidden="false" customHeight="false" outlineLevel="0" collapsed="false">
      <c r="A32" s="12" t="s">
        <v>204</v>
      </c>
      <c r="B32" s="12" t="s">
        <v>205</v>
      </c>
    </row>
    <row r="33" customFormat="false" ht="15" hidden="false" customHeight="false" outlineLevel="0" collapsed="false">
      <c r="A33" s="12" t="s">
        <v>206</v>
      </c>
      <c r="B33" s="12" t="s">
        <v>207</v>
      </c>
    </row>
    <row r="34" customFormat="false" ht="15" hidden="false" customHeight="false" outlineLevel="0" collapsed="false">
      <c r="A34" s="12" t="s">
        <v>208</v>
      </c>
      <c r="B34" s="12" t="s">
        <v>209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2" min="2" style="0" width="35"/>
    <col collapsed="false" customWidth="true" hidden="false" outlineLevel="0" max="3" min="3" style="0" width="50"/>
  </cols>
  <sheetData>
    <row r="1" customFormat="false" ht="17.35" hidden="false" customHeight="false" outlineLevel="0" collapsed="false">
      <c r="A1" s="15" t="s">
        <v>210</v>
      </c>
      <c r="B1" s="15"/>
      <c r="C1" s="15"/>
    </row>
    <row r="3" customFormat="false" ht="15" hidden="false" customHeight="false" outlineLevel="0" collapsed="false">
      <c r="A3" s="16" t="s">
        <v>211</v>
      </c>
    </row>
    <row r="5" customFormat="false" ht="15" hidden="false" customHeight="false" outlineLevel="0" collapsed="false">
      <c r="A5" s="0" t="s">
        <v>42</v>
      </c>
      <c r="B5" s="17"/>
    </row>
    <row r="6" customFormat="false" ht="15" hidden="false" customHeight="false" outlineLevel="0" collapsed="false">
      <c r="A6" s="0" t="s">
        <v>212</v>
      </c>
      <c r="B6" s="17" t="s">
        <v>213</v>
      </c>
    </row>
    <row r="7" customFormat="false" ht="15" hidden="false" customHeight="false" outlineLevel="0" collapsed="false">
      <c r="A7" s="0" t="s">
        <v>214</v>
      </c>
      <c r="B7" s="17" t="s">
        <v>215</v>
      </c>
    </row>
    <row r="8" customFormat="false" ht="15" hidden="false" customHeight="false" outlineLevel="0" collapsed="false">
      <c r="A8" s="0" t="s">
        <v>216</v>
      </c>
      <c r="B8" s="17" t="s">
        <v>217</v>
      </c>
    </row>
    <row r="9" customFormat="false" ht="15" hidden="false" customHeight="false" outlineLevel="0" collapsed="false">
      <c r="A9" s="0" t="s">
        <v>44</v>
      </c>
      <c r="B9" s="17"/>
    </row>
    <row r="11" customFormat="false" ht="15" hidden="false" customHeight="false" outlineLevel="0" collapsed="false">
      <c r="A11" s="2" t="s">
        <v>218</v>
      </c>
    </row>
    <row r="12" customFormat="false" ht="39.75" hidden="false" customHeight="true" outlineLevel="0" collapsed="false">
      <c r="A12" s="18"/>
      <c r="B12" s="18"/>
    </row>
    <row r="14" customFormat="false" ht="15" hidden="false" customHeight="false" outlineLevel="0" collapsed="false">
      <c r="A14" s="16" t="s">
        <v>219</v>
      </c>
    </row>
    <row r="15" customFormat="false" ht="15" hidden="false" customHeight="false" outlineLevel="0" collapsed="false">
      <c r="A15" s="0" t="s">
        <v>220</v>
      </c>
    </row>
    <row r="16" customFormat="false" ht="15" hidden="false" customHeight="false" outlineLevel="0" collapsed="false">
      <c r="A16" s="0" t="s">
        <v>221</v>
      </c>
    </row>
    <row r="17" customFormat="false" ht="15" hidden="false" customHeight="false" outlineLevel="0" collapsed="false">
      <c r="A17" s="0" t="s">
        <v>222</v>
      </c>
    </row>
    <row r="18" customFormat="false" ht="15" hidden="false" customHeight="false" outlineLevel="0" collapsed="false">
      <c r="A18" s="0" t="s">
        <v>223</v>
      </c>
    </row>
    <row r="19" customFormat="false" ht="15" hidden="false" customHeight="false" outlineLevel="0" collapsed="false">
      <c r="A19" s="0" t="s">
        <v>224</v>
      </c>
    </row>
    <row r="20" customFormat="false" ht="15" hidden="false" customHeight="false" outlineLevel="0" collapsed="false">
      <c r="A20" s="0" t="s">
        <v>225</v>
      </c>
    </row>
    <row r="21" customFormat="false" ht="15" hidden="false" customHeight="false" outlineLevel="0" collapsed="false">
      <c r="A21" s="0" t="s">
        <v>226</v>
      </c>
    </row>
    <row r="23" customFormat="false" ht="15" hidden="false" customHeight="false" outlineLevel="0" collapsed="false">
      <c r="A23" s="19" t="s">
        <v>227</v>
      </c>
    </row>
    <row r="25" customFormat="false" ht="15" hidden="false" customHeight="false" outlineLevel="0" collapsed="false">
      <c r="A25" s="16" t="s">
        <v>228</v>
      </c>
    </row>
    <row r="26" customFormat="false" ht="15" hidden="false" customHeight="false" outlineLevel="0" collapsed="false">
      <c r="A26" s="0" t="s">
        <v>229</v>
      </c>
    </row>
    <row r="28" customFormat="false" ht="15" hidden="false" customHeight="false" outlineLevel="0" collapsed="false">
      <c r="A28" s="16" t="s">
        <v>230</v>
      </c>
    </row>
    <row r="29" customFormat="false" ht="15" hidden="false" customHeight="false" outlineLevel="0" collapsed="false">
      <c r="A29" s="0" t="s">
        <v>231</v>
      </c>
    </row>
    <row r="30" customFormat="false" ht="15" hidden="false" customHeight="false" outlineLevel="0" collapsed="false">
      <c r="A30" s="0" t="s">
        <v>232</v>
      </c>
    </row>
    <row r="31" customFormat="false" ht="15" hidden="false" customHeight="false" outlineLevel="0" collapsed="false">
      <c r="A31" s="0" t="s">
        <v>233</v>
      </c>
    </row>
    <row r="32" customFormat="false" ht="15" hidden="false" customHeight="false" outlineLevel="0" collapsed="false">
      <c r="A32" s="0" t="s">
        <v>234</v>
      </c>
    </row>
    <row r="33" customFormat="false" ht="15" hidden="false" customHeight="false" outlineLevel="0" collapsed="false">
      <c r="A33" s="0" t="str">
        <f aca="false">CONCATENATE("assessment_date: """,B8,"""")</f>
        <v>assessment_date: "2026-02-11"</v>
      </c>
    </row>
    <row r="34" customFormat="false" ht="15" hidden="false" customHeight="false" outlineLevel="0" collapsed="false">
      <c r="A34" s="0" t="str">
        <f aca="true">CONCATENATE("export_timestamp: """,TEXT(NOW(),"YYYY-MM-DD HH:MM:SS"),"""")</f>
        <v>export_timestamp: "2026-02-17 07:51:51"</v>
      </c>
    </row>
    <row r="35" customFormat="false" ht="15" hidden="false" customHeight="false" outlineLevel="0" collapsed="false">
      <c r="A35" s="0" t="str">
        <f aca="false">CONCATENATE("assessor: """,B5,"""")</f>
        <v>assessor: ""</v>
      </c>
    </row>
    <row r="36" customFormat="false" ht="15" hidden="false" customHeight="false" outlineLevel="0" collapsed="false">
      <c r="A36" s="0" t="str">
        <f aca="false">CONCATENATE("system: """,B6,"""")</f>
        <v>system: "XENA-ZGW"</v>
      </c>
    </row>
    <row r="37" customFormat="false" ht="15" hidden="false" customHeight="false" outlineLevel="0" collapsed="false">
      <c r="A37" s="0" t="str">
        <f aca="false">CONCATENATE("environment: """,B7,"""")</f>
        <v>environment: "Productie"</v>
      </c>
    </row>
    <row r="38" customFormat="false" ht="15" hidden="false" customHeight="false" outlineLevel="0" collapsed="false">
      <c r="A38" s="0" t="str">
        <f aca="false">CONCATENATE("approved_by: """,B9,"""")</f>
        <v>approved_by: ""</v>
      </c>
    </row>
    <row r="40" customFormat="false" ht="15" hidden="false" customHeight="false" outlineLevel="0" collapsed="false">
      <c r="A40" s="0" t="s">
        <v>235</v>
      </c>
    </row>
    <row r="41" customFormat="false" ht="15" hidden="false" customHeight="false" outlineLevel="0" collapsed="false">
      <c r="A41" s="0" t="str">
        <f aca="false">CONCATENATE("total_score: ",'Summary Dashboard'!B27)</f>
        <v>total_score: 0</v>
      </c>
    </row>
    <row r="42" customFormat="false" ht="15" hidden="false" customHeight="false" outlineLevel="0" collapsed="false">
      <c r="A42" s="0" t="str">
        <f aca="false">CONCATENATE("baseline_score: ",'Summary Dashboard'!B28)</f>
        <v>baseline_score: 0</v>
      </c>
    </row>
    <row r="44" customFormat="false" ht="15" hidden="false" customHeight="false" outlineLevel="0" collapsed="false">
      <c r="A44" s="0" t="s">
        <v>236</v>
      </c>
    </row>
    <row r="45" customFormat="false" ht="15" hidden="false" customHeight="false" outlineLevel="0" collapsed="false">
      <c r="A45" s="0" t="str">
        <f aca="false">CONCATENATE("total_measures: ",'Summary Dashboard'!B6)</f>
        <v>total_measures: 5</v>
      </c>
    </row>
    <row r="46" customFormat="false" ht="15" hidden="false" customHeight="false" outlineLevel="0" collapsed="false">
      <c r="A46" s="0" t="str">
        <f aca="false">CONCATENATE("baseline_measures: ",'Summary Dashboard'!B10)</f>
        <v>baseline_measures: 15</v>
      </c>
    </row>
    <row r="48" customFormat="false" ht="15" hidden="false" customHeight="false" outlineLevel="0" collapsed="false">
      <c r="A48" s="0" t="str">
        <f aca="false">CONCATENATE("compliant: ",'Summary Dashboard'!B14)</f>
        <v>compliant: </v>
      </c>
    </row>
    <row r="49" customFormat="false" ht="15" hidden="false" customHeight="false" outlineLevel="0" collapsed="false">
      <c r="A49" s="0" t="str">
        <f aca="false">CONCATENATE("partial: ",'Summary Dashboard'!B15)</f>
        <v>partial: 0</v>
      </c>
    </row>
    <row r="50" customFormat="false" ht="15" hidden="false" customHeight="false" outlineLevel="0" collapsed="false">
      <c r="A50" s="0" t="str">
        <f aca="false">CONCATENATE("non_compliant: ",'Summary Dashboard'!B16)</f>
        <v>non_compliant: 0</v>
      </c>
    </row>
    <row r="51" customFormat="false" ht="15" hidden="false" customHeight="false" outlineLevel="0" collapsed="false">
      <c r="A51" s="0" t="str">
        <f aca="false">CONCATENATE("na: ",'Summary Dashboard'!B17)</f>
        <v>na: 0</v>
      </c>
    </row>
    <row r="53" customFormat="false" ht="15" hidden="false" customHeight="false" outlineLevel="0" collapsed="false">
      <c r="A53" s="0" t="str">
        <f aca="false">CONCATENATE("baseline_compliant: ",'Summary Dashboard'!B20)</f>
        <v>baseline_compliant: </v>
      </c>
    </row>
    <row r="54" customFormat="false" ht="15" hidden="false" customHeight="false" outlineLevel="0" collapsed="false">
      <c r="A54" s="0" t="str">
        <f aca="false">CONCATENATE("baseline_partial: ",'Summary Dashboard'!B21)</f>
        <v>baseline_partial: 0</v>
      </c>
    </row>
    <row r="55" customFormat="false" ht="15" hidden="false" customHeight="false" outlineLevel="0" collapsed="false">
      <c r="A55" s="0" t="str">
        <f aca="false">CONCATENATE("baseline_non_compliant: ",'Summary Dashboard'!B22)</f>
        <v>baseline_non_compliant: 0</v>
      </c>
    </row>
    <row r="56" customFormat="false" ht="15" hidden="false" customHeight="false" outlineLevel="0" collapsed="false">
      <c r="A56" s="0" t="str">
        <f aca="false">CONCATENATE("baseline_na: ",'Summary Dashboard'!B23)</f>
        <v>baseline_na: 0</v>
      </c>
    </row>
    <row r="57" customFormat="false" ht="15" hidden="false" customHeight="false" outlineLevel="0" collapsed="false">
      <c r="A57" s="0" t="s">
        <v>231</v>
      </c>
    </row>
    <row r="59" customFormat="false" ht="15" hidden="false" customHeight="false" outlineLevel="0" collapsed="false">
      <c r="A59" s="0" t="s">
        <v>237</v>
      </c>
    </row>
    <row r="61" customFormat="false" ht="15" hidden="false" customHeight="false" outlineLevel="0" collapsed="false">
      <c r="A61" s="0" t="str">
        <f aca="true">CONCATENATE("&gt; Geëxporteerd op ",TEXT(NOW(),"YYYY-MM-DD HH:MM:SS"))</f>
        <v>&gt; Geëxporteerd op 2026-02-17 07:51:51</v>
      </c>
    </row>
    <row r="63" customFormat="false" ht="15" hidden="false" customHeight="false" outlineLevel="0" collapsed="false">
      <c r="A63" s="0" t="s">
        <v>238</v>
      </c>
    </row>
    <row r="65" customFormat="false" ht="15" hidden="false" customHeight="false" outlineLevel="0" collapsed="false">
      <c r="A65" s="0" t="s">
        <v>239</v>
      </c>
    </row>
    <row r="66" customFormat="false" ht="15" hidden="false" customHeight="false" outlineLevel="0" collapsed="false">
      <c r="A66" s="0" t="s">
        <v>240</v>
      </c>
    </row>
    <row r="67" customFormat="false" ht="15" hidden="false" customHeight="false" outlineLevel="0" collapsed="false">
      <c r="A67" s="0" t="str">
        <f aca="false">CONCATENATE("| Baseline Score | ",'Summary Dashboard'!B28,"% |")</f>
        <v>| Baseline Score | 0% |</v>
      </c>
    </row>
    <row r="68" customFormat="false" ht="15" hidden="false" customHeight="false" outlineLevel="0" collapsed="false">
      <c r="A68" s="0" t="str">
        <f aca="false">CONCATENATE("| Totaal Score | ",'Summary Dashboard'!B27,"% |")</f>
        <v>| Totaal Score | 0% |</v>
      </c>
    </row>
    <row r="70" customFormat="false" ht="15" hidden="false" customHeight="false" outlineLevel="0" collapsed="false">
      <c r="A70" s="20" t="s">
        <v>241</v>
      </c>
    </row>
  </sheetData>
  <mergeCells count="2">
    <mergeCell ref="A1:C1"/>
    <mergeCell ref="A12:B1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xport">
              <controlPr defaultSize="0" print="0" autoFill="0" autoPict="0" macro="[0]!ExportToVault">
                <anchor moveWithCells="1" sizeWithCells="1">
                  <from>
                    <xdr:col>0</xdr:col>
                    <xdr:colOff>60960</xdr:colOff>
                    <xdr:row>11</xdr:row>
                    <xdr:rowOff>60960</xdr:rowOff>
                  </from>
                  <to>
                    <xdr:col>1</xdr:col>
                    <xdr:colOff>2286000</xdr:colOff>
                    <xdr:row>12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Instructions</vt:lpstr>
      <vt:lpstr>Assessment</vt:lpstr>
      <vt:lpstr>Summary Dashboard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Erik Hoekstra</cp:lastModifiedBy>
  <cp:revision>0</cp:revision>
  <dcterms:created xsi:type="dcterms:W3CDTF">2026-02-11T10:46:34Z</dcterms:created>
  <dcterms:modified xsi:type="dcterms:W3CDTF">2026-02-11T10:55:20Z</dcterms:modified>
  <dc:language>en-US</dc:language>
</cp:coreProperties>
</file>